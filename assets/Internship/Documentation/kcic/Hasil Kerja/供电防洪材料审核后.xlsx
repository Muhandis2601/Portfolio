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C778A41-0F0F-436B-A79C-81F0A7866836}" xr6:coauthVersionLast="36" xr6:coauthVersionMax="36" xr10:uidLastSave="{00000000-0000-0000-0000-000000000000}"/>
  <bookViews>
    <workbookView xWindow="0" yWindow="0" windowWidth="18350" windowHeight="7140" activeTab="1" xr2:uid="{00000000-000D-0000-FFFF-FFFF00000000}"/>
  </bookViews>
  <sheets>
    <sheet name="北京提交" sheetId="3" r:id="rId1"/>
    <sheet name="审核后" sheetId="4" r:id="rId2"/>
  </sheets>
  <calcPr calcId="191029"/>
</workbook>
</file>

<file path=xl/calcChain.xml><?xml version="1.0" encoding="utf-8"?>
<calcChain xmlns="http://schemas.openxmlformats.org/spreadsheetml/2006/main">
  <c r="K19" i="4" l="1"/>
  <c r="J19" i="4"/>
  <c r="I19" i="4"/>
  <c r="H19" i="4"/>
  <c r="G19" i="4"/>
  <c r="F19" i="4"/>
  <c r="E19" i="4"/>
  <c r="E23" i="4" s="1"/>
</calcChain>
</file>

<file path=xl/sharedStrings.xml><?xml version="1.0" encoding="utf-8"?>
<sst xmlns="http://schemas.openxmlformats.org/spreadsheetml/2006/main" count="306" uniqueCount="74">
  <si>
    <t>List of Main Reserve Materials for Flood Control (by profession)
（各专业）防洪主要备用料明细表</t>
  </si>
  <si>
    <t>No
序号</t>
  </si>
  <si>
    <t>Line Name
线名</t>
  </si>
  <si>
    <t>Work Area
部门</t>
  </si>
  <si>
    <t>ballast 
石碴
（10.000）</t>
  </si>
  <si>
    <t>cement 
水泥
(ton)</t>
  </si>
  <si>
    <t>Steel Rail 钢轨 (km)</t>
  </si>
  <si>
    <t>Galvanized iron wire 镀锌铁线 (km)</t>
  </si>
  <si>
    <t>Wood pile
木桩 (pcs)</t>
  </si>
  <si>
    <t>Woven bag 
编织袋 
(pcs)</t>
  </si>
  <si>
    <t>Sharp shovel 
尖铁锹
(unit)</t>
  </si>
  <si>
    <t>square shovel 方铁锹
(unit)</t>
  </si>
  <si>
    <t>Bucket 皮斗 (unit)</t>
  </si>
  <si>
    <t>raising bar 抬杠 (rod)</t>
  </si>
  <si>
    <t>Other
其他</t>
  </si>
  <si>
    <t>Storage location 存放地点</t>
  </si>
  <si>
    <t>contacts person 联系人</t>
  </si>
  <si>
    <t>Remarks 
备注</t>
  </si>
  <si>
    <t>JBHSR
雅万高铁</t>
  </si>
  <si>
    <t>Karawang OCS
卡拉旺接触网工区</t>
  </si>
  <si>
    <t>5 lifting frames, 5 stone slag forks, and 5 steel picks
抬框5个，石渣叉5把，钢镐5把</t>
  </si>
  <si>
    <t>Karawang OCS material warehouse
卡拉旺接触网工区料库</t>
  </si>
  <si>
    <t>Lou Chunsheng 娄春胜</t>
  </si>
  <si>
    <t>085280167878</t>
  </si>
  <si>
    <t>Tegalluar OCS
德卡鲁尔接触网工区</t>
  </si>
  <si>
    <t>Tegalluar OCS material warehouse
德卡鲁尔接触网工区料库</t>
  </si>
  <si>
    <t>Xue Xinya 薛新亚</t>
  </si>
  <si>
    <t>082219938489</t>
  </si>
  <si>
    <t>Tegalluar Electrical
德卡鲁尔电力工区</t>
  </si>
  <si>
    <t>Tegalluar Electrical material warehouse 
德卡鲁尔电力工区料库</t>
  </si>
  <si>
    <t>Chen Guodong 陈国栋</t>
  </si>
  <si>
    <t>082219731919</t>
  </si>
  <si>
    <t>Padalarang Electrical
帕达拉朗电力工区</t>
  </si>
  <si>
    <t>Karawang Electrical
卡拉旺电力工区</t>
  </si>
  <si>
    <t>Karawang Electrical material warehouse 
卡拉旺电力工区料库</t>
  </si>
  <si>
    <t>Halim Electrical
哈利姆电力工区</t>
  </si>
  <si>
    <t>Power Transformation and Distribution
变配电检修工区</t>
  </si>
  <si>
    <t>　/</t>
  </si>
  <si>
    <t>　50</t>
  </si>
  <si>
    <t>Drainage pump including drainage pipe 2 (set) 
排水泵含排水管（台）2　</t>
  </si>
  <si>
    <t>Wang Weidong 　王伟东</t>
  </si>
  <si>
    <t>082219938514　</t>
  </si>
  <si>
    <t>　AT 1</t>
  </si>
  <si>
    <t>/</t>
  </si>
  <si>
    <t>　Drainage pump including drainage pipe 1 (set) 
排水泵含排水管（台）1</t>
  </si>
  <si>
    <t>Tong Huidong 　仝慧东</t>
  </si>
  <si>
    <t>085219224387</t>
  </si>
  <si>
    <t>Halim Substation
哈利姆变电所</t>
  </si>
  <si>
    <t>　AT 2</t>
  </si>
  <si>
    <t>SSP 1
分区1所</t>
  </si>
  <si>
    <t>　AT 3</t>
  </si>
  <si>
    <t>Shi Daming 　石大明</t>
  </si>
  <si>
    <t>085219225907</t>
  </si>
  <si>
    <t>Karawang Substation
卡拉旺变电所</t>
  </si>
  <si>
    <t>AT 4</t>
  </si>
  <si>
    <t>SSP 2
分区2所</t>
  </si>
  <si>
    <t>Yang Bo 杨博</t>
  </si>
  <si>
    <t>082219731923</t>
  </si>
  <si>
    <t>AT 5</t>
  </si>
  <si>
    <t>Walini Susbtation 
瓦里尼变电所</t>
  </si>
  <si>
    <t>AT 6</t>
  </si>
  <si>
    <t>SSP 3
分区3所</t>
  </si>
  <si>
    <t>Shangguan Weibo 上官伟博</t>
  </si>
  <si>
    <t>082219938472</t>
  </si>
  <si>
    <t>AT 7</t>
  </si>
  <si>
    <t>Tegalluar Substation
德卡鲁尔变电所</t>
  </si>
  <si>
    <t>lifting frames
抬框
(pcs)</t>
  </si>
  <si>
    <t>stone slag forks
石渣叉
(pcs)</t>
  </si>
  <si>
    <t xml:space="preserve"> steel picks
钢镐
(pcs)</t>
  </si>
  <si>
    <t>Jumlah</t>
  </si>
  <si>
    <t>Item Barang</t>
  </si>
  <si>
    <t>Harga Satuan</t>
  </si>
  <si>
    <t>Harga Total</t>
  </si>
  <si>
    <t>Link 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</si>
</sst>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8" formatCode="0.0"/>
  </numFmts>
  <fonts count="7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68" fontId="3" fillId="0" borderId="4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0" xfId="0" quotePrefix="1" applyFont="1" applyFill="1" applyBorder="1" applyAlignment="1">
      <alignment horizontal="center" vertical="center" wrapText="1"/>
    </xf>
    <xf numFmtId="0" fontId="0" fillId="0" borderId="11" xfId="0" quotePrefix="1" applyFont="1" applyFill="1" applyBorder="1" applyAlignment="1">
      <alignment horizontal="center" vertical="center" wrapText="1"/>
    </xf>
    <xf numFmtId="0" fontId="0" fillId="0" borderId="12" xfId="0" quotePrefix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</xdr:colOff>
      <xdr:row>23</xdr:row>
      <xdr:rowOff>292792</xdr:rowOff>
    </xdr:from>
    <xdr:to>
      <xdr:col>5</xdr:col>
      <xdr:colOff>861786</xdr:colOff>
      <xdr:row>23</xdr:row>
      <xdr:rowOff>838023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9195" y="11369006"/>
          <a:ext cx="814162" cy="545231"/>
        </a:xfrm>
        <a:prstGeom prst="rect">
          <a:avLst/>
        </a:prstGeom>
      </xdr:spPr>
    </xdr:pic>
    <xdr:clientData/>
  </xdr:twoCellAnchor>
  <xdr:twoCellAnchor>
    <xdr:from>
      <xdr:col>4</xdr:col>
      <xdr:colOff>63479</xdr:colOff>
      <xdr:row>23</xdr:row>
      <xdr:rowOff>247649</xdr:rowOff>
    </xdr:from>
    <xdr:to>
      <xdr:col>4</xdr:col>
      <xdr:colOff>771356</xdr:colOff>
      <xdr:row>23</xdr:row>
      <xdr:rowOff>990422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94193" y="11323863"/>
          <a:ext cx="707877" cy="742773"/>
        </a:xfrm>
        <a:prstGeom prst="rect">
          <a:avLst/>
        </a:prstGeom>
      </xdr:spPr>
    </xdr:pic>
    <xdr:clientData/>
  </xdr:twoCellAnchor>
  <xdr:twoCellAnchor>
    <xdr:from>
      <xdr:col>7</xdr:col>
      <xdr:colOff>50084</xdr:colOff>
      <xdr:row>23</xdr:row>
      <xdr:rowOff>171450</xdr:rowOff>
    </xdr:from>
    <xdr:to>
      <xdr:col>7</xdr:col>
      <xdr:colOff>942797</xdr:colOff>
      <xdr:row>23</xdr:row>
      <xdr:rowOff>1076145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95645" y="11010900"/>
          <a:ext cx="892810" cy="904240"/>
        </a:xfrm>
        <a:prstGeom prst="rect">
          <a:avLst/>
        </a:prstGeom>
      </xdr:spPr>
    </xdr:pic>
    <xdr:clientData/>
  </xdr:twoCellAnchor>
  <xdr:twoCellAnchor>
    <xdr:from>
      <xdr:col>9</xdr:col>
      <xdr:colOff>63563</xdr:colOff>
      <xdr:row>23</xdr:row>
      <xdr:rowOff>200024</xdr:rowOff>
    </xdr:from>
    <xdr:to>
      <xdr:col>9</xdr:col>
      <xdr:colOff>1190359</xdr:colOff>
      <xdr:row>23</xdr:row>
      <xdr:rowOff>942799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73390" y="11038840"/>
          <a:ext cx="1126490" cy="742950"/>
        </a:xfrm>
        <a:prstGeom prst="rect">
          <a:avLst/>
        </a:prstGeom>
      </xdr:spPr>
    </xdr:pic>
    <xdr:clientData/>
  </xdr:twoCellAnchor>
  <xdr:twoCellAnchor>
    <xdr:from>
      <xdr:col>10</xdr:col>
      <xdr:colOff>47625</xdr:colOff>
      <xdr:row>23</xdr:row>
      <xdr:rowOff>140692</xdr:rowOff>
    </xdr:from>
    <xdr:to>
      <xdr:col>10</xdr:col>
      <xdr:colOff>933279</xdr:colOff>
      <xdr:row>23</xdr:row>
      <xdr:rowOff>1057098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72295" y="10979785"/>
          <a:ext cx="885190" cy="916305"/>
        </a:xfrm>
        <a:prstGeom prst="rect">
          <a:avLst/>
        </a:prstGeom>
      </xdr:spPr>
    </xdr:pic>
    <xdr:clientData/>
  </xdr:twoCellAnchor>
  <xdr:twoCellAnchor>
    <xdr:from>
      <xdr:col>11</xdr:col>
      <xdr:colOff>118492</xdr:colOff>
      <xdr:row>23</xdr:row>
      <xdr:rowOff>171450</xdr:rowOff>
    </xdr:from>
    <xdr:to>
      <xdr:col>11</xdr:col>
      <xdr:colOff>914225</xdr:colOff>
      <xdr:row>23</xdr:row>
      <xdr:rowOff>1038036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63555" y="11010900"/>
          <a:ext cx="795655" cy="866140"/>
        </a:xfrm>
        <a:prstGeom prst="rect">
          <a:avLst/>
        </a:prstGeom>
      </xdr:spPr>
    </xdr:pic>
    <xdr:clientData/>
  </xdr:twoCellAnchor>
  <xdr:twoCellAnchor>
    <xdr:from>
      <xdr:col>12</xdr:col>
      <xdr:colOff>47625</xdr:colOff>
      <xdr:row>23</xdr:row>
      <xdr:rowOff>123331</xdr:rowOff>
    </xdr:from>
    <xdr:to>
      <xdr:col>12</xdr:col>
      <xdr:colOff>1256932</xdr:colOff>
      <xdr:row>23</xdr:row>
      <xdr:rowOff>1066512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03050" y="10962640"/>
          <a:ext cx="1209040" cy="942975"/>
        </a:xfrm>
        <a:prstGeom prst="rect">
          <a:avLst/>
        </a:prstGeom>
      </xdr:spPr>
    </xdr:pic>
    <xdr:clientData/>
  </xdr:twoCellAnchor>
  <xdr:twoCellAnchor>
    <xdr:from>
      <xdr:col>14</xdr:col>
      <xdr:colOff>600075</xdr:colOff>
      <xdr:row>23</xdr:row>
      <xdr:rowOff>56764</xdr:rowOff>
    </xdr:from>
    <xdr:to>
      <xdr:col>14</xdr:col>
      <xdr:colOff>1076149</xdr:colOff>
      <xdr:row>23</xdr:row>
      <xdr:rowOff>561788</xdr:rowOff>
    </xdr:to>
    <xdr:pic>
      <xdr:nvPicPr>
        <xdr:cNvPr id="9" name="Picture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15870" y="10895965"/>
          <a:ext cx="475615" cy="504825"/>
        </a:xfrm>
        <a:prstGeom prst="rect">
          <a:avLst/>
        </a:prstGeom>
      </xdr:spPr>
    </xdr:pic>
    <xdr:clientData/>
  </xdr:twoCellAnchor>
  <xdr:twoCellAnchor>
    <xdr:from>
      <xdr:col>13</xdr:col>
      <xdr:colOff>390524</xdr:colOff>
      <xdr:row>23</xdr:row>
      <xdr:rowOff>162648</xdr:rowOff>
    </xdr:from>
    <xdr:to>
      <xdr:col>13</xdr:col>
      <xdr:colOff>990599</xdr:colOff>
      <xdr:row>23</xdr:row>
      <xdr:rowOff>981228</xdr:rowOff>
    </xdr:to>
    <xdr:pic>
      <xdr:nvPicPr>
        <xdr:cNvPr id="10" name="Picture 1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47090" y="11002010"/>
          <a:ext cx="600075" cy="818515"/>
        </a:xfrm>
        <a:prstGeom prst="rect">
          <a:avLst/>
        </a:prstGeom>
      </xdr:spPr>
    </xdr:pic>
    <xdr:clientData/>
  </xdr:twoCellAnchor>
  <xdr:twoCellAnchor>
    <xdr:from>
      <xdr:col>14</xdr:col>
      <xdr:colOff>47624</xdr:colOff>
      <xdr:row>23</xdr:row>
      <xdr:rowOff>51269</xdr:rowOff>
    </xdr:from>
    <xdr:to>
      <xdr:col>14</xdr:col>
      <xdr:colOff>495025</xdr:colOff>
      <xdr:row>23</xdr:row>
      <xdr:rowOff>685411</xdr:rowOff>
    </xdr:to>
    <xdr:pic>
      <xdr:nvPicPr>
        <xdr:cNvPr id="11" name="Picture 1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62785" y="10890250"/>
          <a:ext cx="447675" cy="634365"/>
        </a:xfrm>
        <a:prstGeom prst="rect">
          <a:avLst/>
        </a:prstGeom>
      </xdr:spPr>
    </xdr:pic>
    <xdr:clientData/>
  </xdr:twoCellAnchor>
  <xdr:twoCellAnchor>
    <xdr:from>
      <xdr:col>14</xdr:col>
      <xdr:colOff>1226771</xdr:colOff>
      <xdr:row>23</xdr:row>
      <xdr:rowOff>76200</xdr:rowOff>
    </xdr:from>
    <xdr:to>
      <xdr:col>14</xdr:col>
      <xdr:colOff>1742895</xdr:colOff>
      <xdr:row>23</xdr:row>
      <xdr:rowOff>609414</xdr:rowOff>
    </xdr:to>
    <xdr:pic>
      <xdr:nvPicPr>
        <xdr:cNvPr id="12" name="Picture 1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41980" y="10915650"/>
          <a:ext cx="516255" cy="532765"/>
        </a:xfrm>
        <a:prstGeom prst="rect">
          <a:avLst/>
        </a:prstGeom>
      </xdr:spPr>
    </xdr:pic>
    <xdr:clientData/>
  </xdr:twoCellAnchor>
  <xdr:twoCellAnchor>
    <xdr:from>
      <xdr:col>14</xdr:col>
      <xdr:colOff>876300</xdr:colOff>
      <xdr:row>23</xdr:row>
      <xdr:rowOff>691830</xdr:rowOff>
    </xdr:from>
    <xdr:to>
      <xdr:col>14</xdr:col>
      <xdr:colOff>1533360</xdr:colOff>
      <xdr:row>23</xdr:row>
      <xdr:rowOff>1523790</xdr:rowOff>
    </xdr:to>
    <xdr:pic>
      <xdr:nvPicPr>
        <xdr:cNvPr id="13" name="Picture 1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492095" y="11530965"/>
          <a:ext cx="656590" cy="831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41151</xdr:colOff>
      <xdr:row>19</xdr:row>
      <xdr:rowOff>177612</xdr:rowOff>
    </xdr:from>
    <xdr:to>
      <xdr:col>4</xdr:col>
      <xdr:colOff>1167947</xdr:colOff>
      <xdr:row>19</xdr:row>
      <xdr:rowOff>920387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9504" y="7715436"/>
          <a:ext cx="1126796" cy="742775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19</xdr:row>
      <xdr:rowOff>140692</xdr:rowOff>
    </xdr:from>
    <xdr:to>
      <xdr:col>5</xdr:col>
      <xdr:colOff>933279</xdr:colOff>
      <xdr:row>19</xdr:row>
      <xdr:rowOff>1057098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3125" y="7712710"/>
          <a:ext cx="885190" cy="916305"/>
        </a:xfrm>
        <a:prstGeom prst="rect">
          <a:avLst/>
        </a:prstGeom>
      </xdr:spPr>
    </xdr:pic>
    <xdr:clientData/>
  </xdr:twoCellAnchor>
  <xdr:twoCellAnchor>
    <xdr:from>
      <xdr:col>6</xdr:col>
      <xdr:colOff>118492</xdr:colOff>
      <xdr:row>19</xdr:row>
      <xdr:rowOff>171450</xdr:rowOff>
    </xdr:from>
    <xdr:to>
      <xdr:col>6</xdr:col>
      <xdr:colOff>914225</xdr:colOff>
      <xdr:row>19</xdr:row>
      <xdr:rowOff>1038036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74385" y="7743825"/>
          <a:ext cx="795655" cy="866140"/>
        </a:xfrm>
        <a:prstGeom prst="rect">
          <a:avLst/>
        </a:prstGeom>
      </xdr:spPr>
    </xdr:pic>
    <xdr:clientData/>
  </xdr:twoCellAnchor>
  <xdr:twoCellAnchor>
    <xdr:from>
      <xdr:col>9</xdr:col>
      <xdr:colOff>118221</xdr:colOff>
      <xdr:row>19</xdr:row>
      <xdr:rowOff>202439</xdr:rowOff>
    </xdr:from>
    <xdr:to>
      <xdr:col>9</xdr:col>
      <xdr:colOff>1216136</xdr:colOff>
      <xdr:row>19</xdr:row>
      <xdr:rowOff>1367118</xdr:rowOff>
    </xdr:to>
    <xdr:pic>
      <xdr:nvPicPr>
        <xdr:cNvPr id="9" name="Picture 1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96730" y="7774305"/>
          <a:ext cx="1097915" cy="1164590"/>
        </a:xfrm>
        <a:prstGeom prst="rect">
          <a:avLst/>
        </a:prstGeom>
      </xdr:spPr>
    </xdr:pic>
    <xdr:clientData/>
  </xdr:twoCellAnchor>
  <xdr:twoCellAnchor>
    <xdr:from>
      <xdr:col>7</xdr:col>
      <xdr:colOff>390524</xdr:colOff>
      <xdr:row>19</xdr:row>
      <xdr:rowOff>162648</xdr:rowOff>
    </xdr:from>
    <xdr:to>
      <xdr:col>7</xdr:col>
      <xdr:colOff>990599</xdr:colOff>
      <xdr:row>19</xdr:row>
      <xdr:rowOff>981228</xdr:rowOff>
    </xdr:to>
    <xdr:pic>
      <xdr:nvPicPr>
        <xdr:cNvPr id="10" name="Picture 1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56145" y="7734935"/>
          <a:ext cx="600075" cy="818515"/>
        </a:xfrm>
        <a:prstGeom prst="rect">
          <a:avLst/>
        </a:prstGeom>
      </xdr:spPr>
    </xdr:pic>
    <xdr:clientData/>
  </xdr:twoCellAnchor>
  <xdr:twoCellAnchor>
    <xdr:from>
      <xdr:col>8</xdr:col>
      <xdr:colOff>170888</xdr:colOff>
      <xdr:row>19</xdr:row>
      <xdr:rowOff>152121</xdr:rowOff>
    </xdr:from>
    <xdr:to>
      <xdr:col>8</xdr:col>
      <xdr:colOff>1075764</xdr:colOff>
      <xdr:row>19</xdr:row>
      <xdr:rowOff>1434684</xdr:rowOff>
    </xdr:to>
    <xdr:pic>
      <xdr:nvPicPr>
        <xdr:cNvPr id="11" name="Picture 1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16900" y="7724140"/>
          <a:ext cx="904875" cy="1282700"/>
        </a:xfrm>
        <a:prstGeom prst="rect">
          <a:avLst/>
        </a:prstGeom>
      </xdr:spPr>
    </xdr:pic>
    <xdr:clientData/>
  </xdr:twoCellAnchor>
  <xdr:twoCellAnchor>
    <xdr:from>
      <xdr:col>10</xdr:col>
      <xdr:colOff>106181</xdr:colOff>
      <xdr:row>19</xdr:row>
      <xdr:rowOff>221877</xdr:rowOff>
    </xdr:from>
    <xdr:to>
      <xdr:col>10</xdr:col>
      <xdr:colOff>1193021</xdr:colOff>
      <xdr:row>19</xdr:row>
      <xdr:rowOff>1344705</xdr:rowOff>
    </xdr:to>
    <xdr:pic>
      <xdr:nvPicPr>
        <xdr:cNvPr id="12" name="Picture 1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43260" y="7793990"/>
          <a:ext cx="1086485" cy="1122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4"/>
  <sheetViews>
    <sheetView topLeftCell="A22" zoomScale="70" zoomScaleNormal="70" workbookViewId="0">
      <selection activeCell="P24" sqref="P24"/>
    </sheetView>
  </sheetViews>
  <sheetFormatPr defaultColWidth="9.1796875" defaultRowHeight="14.5"/>
  <cols>
    <col min="1" max="1" width="2.453125" style="20" customWidth="1"/>
    <col min="2" max="2" width="5.54296875" style="20" customWidth="1"/>
    <col min="3" max="3" width="11.54296875" style="20" customWidth="1"/>
    <col min="4" max="4" width="18" style="20" customWidth="1"/>
    <col min="5" max="5" width="12.453125" style="20" customWidth="1"/>
    <col min="6" max="6" width="13.1796875" style="20" customWidth="1"/>
    <col min="7" max="7" width="12.26953125" style="20" customWidth="1"/>
    <col min="8" max="8" width="14.7265625" style="20" customWidth="1"/>
    <col min="9" max="9" width="15" style="20" customWidth="1"/>
    <col min="10" max="10" width="18.54296875" style="20" customWidth="1"/>
    <col min="11" max="11" width="14.7265625" style="20" customWidth="1"/>
    <col min="12" max="12" width="14.54296875" style="20" customWidth="1"/>
    <col min="13" max="13" width="19.7265625" style="20" customWidth="1"/>
    <col min="14" max="14" width="19.1796875" style="20" customWidth="1"/>
    <col min="15" max="15" width="28.7265625" style="20" customWidth="1"/>
    <col min="16" max="16" width="21.26953125" style="20" customWidth="1"/>
    <col min="17" max="17" width="13" style="20" customWidth="1"/>
    <col min="18" max="18" width="15.26953125" style="20" customWidth="1"/>
    <col min="19" max="16384" width="9.1796875" style="20"/>
  </cols>
  <sheetData>
    <row r="1" spans="2:18" ht="54" customHeight="1">
      <c r="B1" s="34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2:18" ht="46.5">
      <c r="B2" s="21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9</v>
      </c>
      <c r="K2" s="22" t="s">
        <v>10</v>
      </c>
      <c r="L2" s="22" t="s">
        <v>11</v>
      </c>
      <c r="M2" s="22" t="s">
        <v>12</v>
      </c>
      <c r="N2" s="22" t="s">
        <v>13</v>
      </c>
      <c r="O2" s="22" t="s">
        <v>14</v>
      </c>
      <c r="P2" s="22" t="s">
        <v>15</v>
      </c>
      <c r="Q2" s="22" t="s">
        <v>16</v>
      </c>
      <c r="R2" s="29" t="s">
        <v>17</v>
      </c>
    </row>
    <row r="3" spans="2:18" ht="39">
      <c r="B3" s="23">
        <v>1</v>
      </c>
      <c r="C3" s="9" t="s">
        <v>18</v>
      </c>
      <c r="D3" s="9" t="s">
        <v>19</v>
      </c>
      <c r="E3" s="9">
        <v>10</v>
      </c>
      <c r="F3" s="9">
        <v>13</v>
      </c>
      <c r="G3" s="9"/>
      <c r="H3" s="24">
        <v>0.6</v>
      </c>
      <c r="I3" s="9"/>
      <c r="J3" s="9">
        <v>200</v>
      </c>
      <c r="K3" s="9">
        <v>10</v>
      </c>
      <c r="L3" s="9">
        <v>10</v>
      </c>
      <c r="M3" s="9">
        <v>10</v>
      </c>
      <c r="N3" s="9">
        <v>5</v>
      </c>
      <c r="O3" s="9" t="s">
        <v>20</v>
      </c>
      <c r="P3" s="9" t="s">
        <v>21</v>
      </c>
      <c r="Q3" s="9" t="s">
        <v>22</v>
      </c>
      <c r="R3" s="31" t="s">
        <v>23</v>
      </c>
    </row>
    <row r="4" spans="2:18" ht="39">
      <c r="B4" s="25">
        <v>2</v>
      </c>
      <c r="C4" s="13" t="s">
        <v>18</v>
      </c>
      <c r="D4" s="13" t="s">
        <v>24</v>
      </c>
      <c r="E4" s="13">
        <v>10</v>
      </c>
      <c r="F4" s="13">
        <v>13</v>
      </c>
      <c r="G4" s="13"/>
      <c r="H4" s="24">
        <v>0.6</v>
      </c>
      <c r="I4" s="13"/>
      <c r="J4" s="13">
        <v>200</v>
      </c>
      <c r="K4" s="13">
        <v>10</v>
      </c>
      <c r="L4" s="13">
        <v>10</v>
      </c>
      <c r="M4" s="13">
        <v>10</v>
      </c>
      <c r="N4" s="13">
        <v>5</v>
      </c>
      <c r="O4" s="9" t="s">
        <v>20</v>
      </c>
      <c r="P4" s="13" t="s">
        <v>25</v>
      </c>
      <c r="Q4" s="13" t="s">
        <v>26</v>
      </c>
      <c r="R4" s="32" t="s">
        <v>27</v>
      </c>
    </row>
    <row r="5" spans="2:18" ht="39">
      <c r="B5" s="25">
        <v>3</v>
      </c>
      <c r="C5" s="13" t="s">
        <v>18</v>
      </c>
      <c r="D5" s="13" t="s">
        <v>28</v>
      </c>
      <c r="E5" s="13">
        <v>10</v>
      </c>
      <c r="F5" s="13">
        <v>13</v>
      </c>
      <c r="G5" s="13"/>
      <c r="H5" s="24">
        <v>0.6</v>
      </c>
      <c r="I5" s="13"/>
      <c r="J5" s="13">
        <v>200</v>
      </c>
      <c r="K5" s="13">
        <v>10</v>
      </c>
      <c r="L5" s="13">
        <v>10</v>
      </c>
      <c r="M5" s="13">
        <v>10</v>
      </c>
      <c r="N5" s="13">
        <v>5</v>
      </c>
      <c r="O5" s="9" t="s">
        <v>20</v>
      </c>
      <c r="P5" s="13" t="s">
        <v>29</v>
      </c>
      <c r="Q5" s="13" t="s">
        <v>30</v>
      </c>
      <c r="R5" s="32" t="s">
        <v>31</v>
      </c>
    </row>
    <row r="6" spans="2:18" ht="39">
      <c r="B6" s="25">
        <v>4</v>
      </c>
      <c r="C6" s="13" t="s">
        <v>18</v>
      </c>
      <c r="D6" s="13" t="s">
        <v>32</v>
      </c>
      <c r="E6" s="13">
        <v>10</v>
      </c>
      <c r="F6" s="13">
        <v>13</v>
      </c>
      <c r="G6" s="13"/>
      <c r="H6" s="24">
        <v>0.6</v>
      </c>
      <c r="I6" s="13"/>
      <c r="J6" s="13">
        <v>200</v>
      </c>
      <c r="K6" s="13">
        <v>10</v>
      </c>
      <c r="L6" s="13">
        <v>10</v>
      </c>
      <c r="M6" s="13">
        <v>10</v>
      </c>
      <c r="N6" s="13">
        <v>5</v>
      </c>
      <c r="O6" s="9" t="s">
        <v>20</v>
      </c>
      <c r="P6" s="13" t="s">
        <v>29</v>
      </c>
      <c r="Q6" s="13" t="s">
        <v>30</v>
      </c>
      <c r="R6" s="32" t="s">
        <v>31</v>
      </c>
    </row>
    <row r="7" spans="2:18" ht="39">
      <c r="B7" s="25">
        <v>5</v>
      </c>
      <c r="C7" s="13" t="s">
        <v>18</v>
      </c>
      <c r="D7" s="13" t="s">
        <v>33</v>
      </c>
      <c r="E7" s="13">
        <v>10</v>
      </c>
      <c r="F7" s="13">
        <v>13</v>
      </c>
      <c r="G7" s="13"/>
      <c r="H7" s="24">
        <v>0.6</v>
      </c>
      <c r="I7" s="13"/>
      <c r="J7" s="13">
        <v>200</v>
      </c>
      <c r="K7" s="13">
        <v>10</v>
      </c>
      <c r="L7" s="13">
        <v>10</v>
      </c>
      <c r="M7" s="13">
        <v>10</v>
      </c>
      <c r="N7" s="13">
        <v>5</v>
      </c>
      <c r="O7" s="9" t="s">
        <v>20</v>
      </c>
      <c r="P7" s="13" t="s">
        <v>34</v>
      </c>
      <c r="Q7" s="13" t="s">
        <v>30</v>
      </c>
      <c r="R7" s="32" t="s">
        <v>31</v>
      </c>
    </row>
    <row r="8" spans="2:18" ht="39">
      <c r="B8" s="25">
        <v>6</v>
      </c>
      <c r="C8" s="13" t="s">
        <v>18</v>
      </c>
      <c r="D8" s="13" t="s">
        <v>35</v>
      </c>
      <c r="E8" s="13">
        <v>10</v>
      </c>
      <c r="F8" s="13">
        <v>13</v>
      </c>
      <c r="G8" s="13"/>
      <c r="H8" s="24">
        <v>0.6</v>
      </c>
      <c r="I8" s="13"/>
      <c r="J8" s="13">
        <v>200</v>
      </c>
      <c r="K8" s="13">
        <v>10</v>
      </c>
      <c r="L8" s="13">
        <v>10</v>
      </c>
      <c r="M8" s="13">
        <v>10</v>
      </c>
      <c r="N8" s="13">
        <v>5</v>
      </c>
      <c r="O8" s="9" t="s">
        <v>20</v>
      </c>
      <c r="P8" s="13" t="s">
        <v>34</v>
      </c>
      <c r="Q8" s="13" t="s">
        <v>30</v>
      </c>
      <c r="R8" s="32" t="s">
        <v>31</v>
      </c>
    </row>
    <row r="9" spans="2:18" ht="36">
      <c r="B9" s="25">
        <v>7</v>
      </c>
      <c r="C9" s="26" t="s">
        <v>18</v>
      </c>
      <c r="D9" s="26" t="s">
        <v>36</v>
      </c>
      <c r="E9" s="26">
        <v>20</v>
      </c>
      <c r="F9" s="26">
        <v>1</v>
      </c>
      <c r="G9" s="26" t="s">
        <v>37</v>
      </c>
      <c r="H9" s="26">
        <v>0.2</v>
      </c>
      <c r="I9" s="26"/>
      <c r="J9" s="26" t="s">
        <v>38</v>
      </c>
      <c r="K9" s="26">
        <v>4</v>
      </c>
      <c r="L9" s="26">
        <v>4</v>
      </c>
      <c r="M9" s="26">
        <v>4</v>
      </c>
      <c r="N9" s="26">
        <v>4</v>
      </c>
      <c r="O9" s="26" t="s">
        <v>39</v>
      </c>
      <c r="P9" s="26" t="s">
        <v>36</v>
      </c>
      <c r="Q9" s="26" t="s">
        <v>40</v>
      </c>
      <c r="R9" s="30" t="s">
        <v>41</v>
      </c>
    </row>
    <row r="10" spans="2:18" ht="36">
      <c r="B10" s="25">
        <v>8</v>
      </c>
      <c r="C10" s="26" t="s">
        <v>18</v>
      </c>
      <c r="D10" s="26" t="s">
        <v>42</v>
      </c>
      <c r="E10" s="26" t="s">
        <v>43</v>
      </c>
      <c r="F10" s="26" t="s">
        <v>43</v>
      </c>
      <c r="G10" s="26" t="s">
        <v>37</v>
      </c>
      <c r="H10" s="26">
        <v>0.2</v>
      </c>
      <c r="I10" s="26"/>
      <c r="J10" s="26" t="s">
        <v>38</v>
      </c>
      <c r="K10" s="26">
        <v>2</v>
      </c>
      <c r="L10" s="26">
        <v>2</v>
      </c>
      <c r="M10" s="26">
        <v>2</v>
      </c>
      <c r="N10" s="26">
        <v>2</v>
      </c>
      <c r="O10" s="26" t="s">
        <v>44</v>
      </c>
      <c r="P10" s="26" t="s">
        <v>42</v>
      </c>
      <c r="Q10" s="26" t="s">
        <v>45</v>
      </c>
      <c r="R10" s="32" t="s">
        <v>46</v>
      </c>
    </row>
    <row r="11" spans="2:18" ht="36">
      <c r="B11" s="25">
        <v>9</v>
      </c>
      <c r="C11" s="26" t="s">
        <v>18</v>
      </c>
      <c r="D11" s="26" t="s">
        <v>47</v>
      </c>
      <c r="E11" s="26" t="s">
        <v>43</v>
      </c>
      <c r="F11" s="26" t="s">
        <v>43</v>
      </c>
      <c r="G11" s="26" t="s">
        <v>37</v>
      </c>
      <c r="H11" s="26">
        <v>0.2</v>
      </c>
      <c r="I11" s="26"/>
      <c r="J11" s="26" t="s">
        <v>38</v>
      </c>
      <c r="K11" s="26">
        <v>2</v>
      </c>
      <c r="L11" s="26">
        <v>2</v>
      </c>
      <c r="M11" s="26">
        <v>2</v>
      </c>
      <c r="N11" s="26">
        <v>2</v>
      </c>
      <c r="O11" s="26" t="s">
        <v>44</v>
      </c>
      <c r="P11" s="26" t="s">
        <v>47</v>
      </c>
      <c r="Q11" s="26" t="s">
        <v>45</v>
      </c>
      <c r="R11" s="32" t="s">
        <v>46</v>
      </c>
    </row>
    <row r="12" spans="2:18" ht="36">
      <c r="B12" s="25">
        <v>10</v>
      </c>
      <c r="C12" s="26" t="s">
        <v>18</v>
      </c>
      <c r="D12" s="26" t="s">
        <v>48</v>
      </c>
      <c r="E12" s="26" t="s">
        <v>43</v>
      </c>
      <c r="F12" s="26" t="s">
        <v>43</v>
      </c>
      <c r="G12" s="26" t="s">
        <v>37</v>
      </c>
      <c r="H12" s="26">
        <v>0.2</v>
      </c>
      <c r="I12" s="26"/>
      <c r="J12" s="26" t="s">
        <v>38</v>
      </c>
      <c r="K12" s="26">
        <v>2</v>
      </c>
      <c r="L12" s="26">
        <v>2</v>
      </c>
      <c r="M12" s="26">
        <v>2</v>
      </c>
      <c r="N12" s="26">
        <v>2</v>
      </c>
      <c r="O12" s="26" t="s">
        <v>44</v>
      </c>
      <c r="P12" s="26" t="s">
        <v>48</v>
      </c>
      <c r="Q12" s="26" t="s">
        <v>45</v>
      </c>
      <c r="R12" s="32" t="s">
        <v>46</v>
      </c>
    </row>
    <row r="13" spans="2:18" ht="36">
      <c r="B13" s="25">
        <v>11</v>
      </c>
      <c r="C13" s="26" t="s">
        <v>18</v>
      </c>
      <c r="D13" s="26" t="s">
        <v>49</v>
      </c>
      <c r="E13" s="26" t="s">
        <v>43</v>
      </c>
      <c r="F13" s="26" t="s">
        <v>43</v>
      </c>
      <c r="G13" s="26" t="s">
        <v>37</v>
      </c>
      <c r="H13" s="26">
        <v>0.2</v>
      </c>
      <c r="I13" s="26"/>
      <c r="J13" s="26" t="s">
        <v>38</v>
      </c>
      <c r="K13" s="26">
        <v>2</v>
      </c>
      <c r="L13" s="26">
        <v>2</v>
      </c>
      <c r="M13" s="26">
        <v>2</v>
      </c>
      <c r="N13" s="26">
        <v>2</v>
      </c>
      <c r="O13" s="26" t="s">
        <v>44</v>
      </c>
      <c r="P13" s="26" t="s">
        <v>49</v>
      </c>
      <c r="Q13" s="26" t="s">
        <v>45</v>
      </c>
      <c r="R13" s="32" t="s">
        <v>46</v>
      </c>
    </row>
    <row r="14" spans="2:18" ht="36">
      <c r="B14" s="25">
        <v>12</v>
      </c>
      <c r="C14" s="26" t="s">
        <v>18</v>
      </c>
      <c r="D14" s="26" t="s">
        <v>50</v>
      </c>
      <c r="E14" s="26" t="s">
        <v>43</v>
      </c>
      <c r="F14" s="26" t="s">
        <v>43</v>
      </c>
      <c r="G14" s="26" t="s">
        <v>37</v>
      </c>
      <c r="H14" s="26">
        <v>0.2</v>
      </c>
      <c r="I14" s="26"/>
      <c r="J14" s="26" t="s">
        <v>38</v>
      </c>
      <c r="K14" s="26">
        <v>2</v>
      </c>
      <c r="L14" s="26">
        <v>2</v>
      </c>
      <c r="M14" s="26">
        <v>2</v>
      </c>
      <c r="N14" s="26">
        <v>2</v>
      </c>
      <c r="O14" s="26" t="s">
        <v>44</v>
      </c>
      <c r="P14" s="26" t="s">
        <v>50</v>
      </c>
      <c r="Q14" s="26" t="s">
        <v>51</v>
      </c>
      <c r="R14" s="32" t="s">
        <v>52</v>
      </c>
    </row>
    <row r="15" spans="2:18" ht="36">
      <c r="B15" s="25">
        <v>13</v>
      </c>
      <c r="C15" s="26" t="s">
        <v>18</v>
      </c>
      <c r="D15" s="26" t="s">
        <v>53</v>
      </c>
      <c r="E15" s="26" t="s">
        <v>43</v>
      </c>
      <c r="F15" s="26" t="s">
        <v>43</v>
      </c>
      <c r="G15" s="26" t="s">
        <v>37</v>
      </c>
      <c r="H15" s="26">
        <v>0.2</v>
      </c>
      <c r="I15" s="26"/>
      <c r="J15" s="26" t="s">
        <v>38</v>
      </c>
      <c r="K15" s="26">
        <v>2</v>
      </c>
      <c r="L15" s="26">
        <v>2</v>
      </c>
      <c r="M15" s="26">
        <v>2</v>
      </c>
      <c r="N15" s="26">
        <v>2</v>
      </c>
      <c r="O15" s="26" t="s">
        <v>44</v>
      </c>
      <c r="P15" s="26" t="s">
        <v>53</v>
      </c>
      <c r="Q15" s="26" t="s">
        <v>51</v>
      </c>
      <c r="R15" s="32" t="s">
        <v>52</v>
      </c>
    </row>
    <row r="16" spans="2:18" ht="36">
      <c r="B16" s="25">
        <v>14</v>
      </c>
      <c r="C16" s="26" t="s">
        <v>18</v>
      </c>
      <c r="D16" s="26" t="s">
        <v>54</v>
      </c>
      <c r="E16" s="26" t="s">
        <v>43</v>
      </c>
      <c r="F16" s="26" t="s">
        <v>43</v>
      </c>
      <c r="G16" s="26" t="s">
        <v>37</v>
      </c>
      <c r="H16" s="26">
        <v>0.2</v>
      </c>
      <c r="I16" s="26"/>
      <c r="J16" s="26" t="s">
        <v>38</v>
      </c>
      <c r="K16" s="26">
        <v>2</v>
      </c>
      <c r="L16" s="26">
        <v>2</v>
      </c>
      <c r="M16" s="26">
        <v>2</v>
      </c>
      <c r="N16" s="26">
        <v>2</v>
      </c>
      <c r="O16" s="26" t="s">
        <v>44</v>
      </c>
      <c r="P16" s="26" t="s">
        <v>54</v>
      </c>
      <c r="Q16" s="26" t="s">
        <v>51</v>
      </c>
      <c r="R16" s="32" t="s">
        <v>52</v>
      </c>
    </row>
    <row r="17" spans="2:18" ht="36">
      <c r="B17" s="25">
        <v>15</v>
      </c>
      <c r="C17" s="26" t="s">
        <v>18</v>
      </c>
      <c r="D17" s="26" t="s">
        <v>55</v>
      </c>
      <c r="E17" s="26" t="s">
        <v>43</v>
      </c>
      <c r="F17" s="26" t="s">
        <v>43</v>
      </c>
      <c r="G17" s="26" t="s">
        <v>37</v>
      </c>
      <c r="H17" s="26">
        <v>0.2</v>
      </c>
      <c r="I17" s="26"/>
      <c r="J17" s="26" t="s">
        <v>38</v>
      </c>
      <c r="K17" s="26">
        <v>2</v>
      </c>
      <c r="L17" s="26">
        <v>2</v>
      </c>
      <c r="M17" s="26">
        <v>2</v>
      </c>
      <c r="N17" s="26">
        <v>2</v>
      </c>
      <c r="O17" s="26" t="s">
        <v>44</v>
      </c>
      <c r="P17" s="26" t="s">
        <v>55</v>
      </c>
      <c r="Q17" s="26" t="s">
        <v>56</v>
      </c>
      <c r="R17" s="32" t="s">
        <v>57</v>
      </c>
    </row>
    <row r="18" spans="2:18" ht="36">
      <c r="B18" s="25">
        <v>16</v>
      </c>
      <c r="C18" s="26" t="s">
        <v>18</v>
      </c>
      <c r="D18" s="26" t="s">
        <v>58</v>
      </c>
      <c r="E18" s="26" t="s">
        <v>43</v>
      </c>
      <c r="F18" s="26" t="s">
        <v>43</v>
      </c>
      <c r="G18" s="26" t="s">
        <v>37</v>
      </c>
      <c r="H18" s="26">
        <v>0.2</v>
      </c>
      <c r="I18" s="26"/>
      <c r="J18" s="26" t="s">
        <v>38</v>
      </c>
      <c r="K18" s="26">
        <v>2</v>
      </c>
      <c r="L18" s="26">
        <v>2</v>
      </c>
      <c r="M18" s="26">
        <v>2</v>
      </c>
      <c r="N18" s="26">
        <v>2</v>
      </c>
      <c r="O18" s="26" t="s">
        <v>44</v>
      </c>
      <c r="P18" s="26" t="s">
        <v>58</v>
      </c>
      <c r="Q18" s="26" t="s">
        <v>56</v>
      </c>
      <c r="R18" s="32" t="s">
        <v>57</v>
      </c>
    </row>
    <row r="19" spans="2:18" ht="36">
      <c r="B19" s="25">
        <v>17</v>
      </c>
      <c r="C19" s="26" t="s">
        <v>18</v>
      </c>
      <c r="D19" s="26" t="s">
        <v>59</v>
      </c>
      <c r="E19" s="26" t="s">
        <v>43</v>
      </c>
      <c r="F19" s="26" t="s">
        <v>43</v>
      </c>
      <c r="G19" s="26" t="s">
        <v>37</v>
      </c>
      <c r="H19" s="26">
        <v>0.2</v>
      </c>
      <c r="I19" s="26"/>
      <c r="J19" s="26" t="s">
        <v>38</v>
      </c>
      <c r="K19" s="26">
        <v>2</v>
      </c>
      <c r="L19" s="26">
        <v>2</v>
      </c>
      <c r="M19" s="26">
        <v>2</v>
      </c>
      <c r="N19" s="26">
        <v>2</v>
      </c>
      <c r="O19" s="26" t="s">
        <v>44</v>
      </c>
      <c r="P19" s="26" t="s">
        <v>59</v>
      </c>
      <c r="Q19" s="26" t="s">
        <v>56</v>
      </c>
      <c r="R19" s="32" t="s">
        <v>57</v>
      </c>
    </row>
    <row r="20" spans="2:18" ht="36">
      <c r="B20" s="25">
        <v>18</v>
      </c>
      <c r="C20" s="26" t="s">
        <v>18</v>
      </c>
      <c r="D20" s="26" t="s">
        <v>60</v>
      </c>
      <c r="E20" s="26" t="s">
        <v>43</v>
      </c>
      <c r="F20" s="26" t="s">
        <v>43</v>
      </c>
      <c r="G20" s="26" t="s">
        <v>37</v>
      </c>
      <c r="H20" s="26">
        <v>0.2</v>
      </c>
      <c r="I20" s="26"/>
      <c r="J20" s="26" t="s">
        <v>38</v>
      </c>
      <c r="K20" s="26">
        <v>2</v>
      </c>
      <c r="L20" s="26">
        <v>2</v>
      </c>
      <c r="M20" s="26">
        <v>2</v>
      </c>
      <c r="N20" s="26">
        <v>2</v>
      </c>
      <c r="O20" s="26" t="s">
        <v>44</v>
      </c>
      <c r="P20" s="26" t="s">
        <v>60</v>
      </c>
      <c r="Q20" s="26" t="s">
        <v>56</v>
      </c>
      <c r="R20" s="32" t="s">
        <v>57</v>
      </c>
    </row>
    <row r="21" spans="2:18" ht="36">
      <c r="B21" s="25">
        <v>19</v>
      </c>
      <c r="C21" s="26" t="s">
        <v>18</v>
      </c>
      <c r="D21" s="26" t="s">
        <v>61</v>
      </c>
      <c r="E21" s="26" t="s">
        <v>43</v>
      </c>
      <c r="F21" s="26" t="s">
        <v>43</v>
      </c>
      <c r="G21" s="26" t="s">
        <v>37</v>
      </c>
      <c r="H21" s="26">
        <v>0.2</v>
      </c>
      <c r="I21" s="26"/>
      <c r="J21" s="26" t="s">
        <v>38</v>
      </c>
      <c r="K21" s="26">
        <v>2</v>
      </c>
      <c r="L21" s="26">
        <v>2</v>
      </c>
      <c r="M21" s="26">
        <v>2</v>
      </c>
      <c r="N21" s="26">
        <v>2</v>
      </c>
      <c r="O21" s="26" t="s">
        <v>44</v>
      </c>
      <c r="P21" s="26" t="s">
        <v>61</v>
      </c>
      <c r="Q21" s="26" t="s">
        <v>62</v>
      </c>
      <c r="R21" s="32" t="s">
        <v>63</v>
      </c>
    </row>
    <row r="22" spans="2:18" ht="36">
      <c r="B22" s="25">
        <v>20</v>
      </c>
      <c r="C22" s="26" t="s">
        <v>18</v>
      </c>
      <c r="D22" s="26" t="s">
        <v>64</v>
      </c>
      <c r="E22" s="26" t="s">
        <v>43</v>
      </c>
      <c r="F22" s="26" t="s">
        <v>43</v>
      </c>
      <c r="G22" s="26" t="s">
        <v>37</v>
      </c>
      <c r="H22" s="26">
        <v>0.2</v>
      </c>
      <c r="I22" s="26"/>
      <c r="J22" s="26" t="s">
        <v>38</v>
      </c>
      <c r="K22" s="26">
        <v>2</v>
      </c>
      <c r="L22" s="26">
        <v>2</v>
      </c>
      <c r="M22" s="26">
        <v>2</v>
      </c>
      <c r="N22" s="26">
        <v>2</v>
      </c>
      <c r="O22" s="26" t="s">
        <v>44</v>
      </c>
      <c r="P22" s="26" t="s">
        <v>64</v>
      </c>
      <c r="Q22" s="26" t="s">
        <v>62</v>
      </c>
      <c r="R22" s="32" t="s">
        <v>63</v>
      </c>
    </row>
    <row r="23" spans="2:18" ht="36">
      <c r="B23" s="27">
        <v>21</v>
      </c>
      <c r="C23" s="28" t="s">
        <v>18</v>
      </c>
      <c r="D23" s="28" t="s">
        <v>65</v>
      </c>
      <c r="E23" s="28" t="s">
        <v>43</v>
      </c>
      <c r="F23" s="28" t="s">
        <v>43</v>
      </c>
      <c r="G23" s="28" t="s">
        <v>37</v>
      </c>
      <c r="H23" s="28">
        <v>0.2</v>
      </c>
      <c r="I23" s="28"/>
      <c r="J23" s="28" t="s">
        <v>38</v>
      </c>
      <c r="K23" s="28">
        <v>2</v>
      </c>
      <c r="L23" s="28">
        <v>2</v>
      </c>
      <c r="M23" s="28">
        <v>2</v>
      </c>
      <c r="N23" s="28">
        <v>2</v>
      </c>
      <c r="O23" s="28" t="s">
        <v>44</v>
      </c>
      <c r="P23" s="28" t="s">
        <v>65</v>
      </c>
      <c r="Q23" s="28" t="s">
        <v>62</v>
      </c>
      <c r="R23" s="33" t="s">
        <v>63</v>
      </c>
    </row>
    <row r="24" spans="2:18" ht="123.75" customHeight="1"/>
  </sheetData>
  <mergeCells count="1">
    <mergeCell ref="B1:R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3"/>
  <sheetViews>
    <sheetView tabSelected="1" topLeftCell="A19" zoomScale="85" zoomScaleNormal="85" workbookViewId="0">
      <selection activeCell="E23" sqref="E23:K23"/>
    </sheetView>
  </sheetViews>
  <sheetFormatPr defaultColWidth="9" defaultRowHeight="14.5"/>
  <cols>
    <col min="1" max="1" width="2.453125" style="1" customWidth="1"/>
    <col min="2" max="2" width="5.54296875" style="1" customWidth="1"/>
    <col min="3" max="3" width="11.54296875" style="1" customWidth="1"/>
    <col min="4" max="4" width="22.7265625" style="2" customWidth="1"/>
    <col min="5" max="5" width="18.54296875" style="1" customWidth="1"/>
    <col min="6" max="6" width="14.7265625" style="1" customWidth="1"/>
    <col min="7" max="7" width="14.54296875" style="1" customWidth="1"/>
    <col min="8" max="8" width="15.453125" style="1" customWidth="1"/>
    <col min="9" max="9" width="16.1796875" style="1" customWidth="1"/>
    <col min="10" max="11" width="19.1796875" style="1" customWidth="1"/>
    <col min="12" max="16375" width="9.1796875" style="1"/>
    <col min="16376" max="16384" width="9" style="1"/>
  </cols>
  <sheetData>
    <row r="1" spans="2:11" ht="54" customHeight="1">
      <c r="B1" s="36" t="s">
        <v>0</v>
      </c>
      <c r="C1" s="37"/>
      <c r="D1" s="38"/>
      <c r="E1" s="37"/>
      <c r="F1" s="37"/>
      <c r="G1" s="37"/>
      <c r="H1" s="37"/>
      <c r="I1" s="37"/>
      <c r="J1" s="37"/>
      <c r="K1" s="37"/>
    </row>
    <row r="2" spans="2:11" ht="46.5">
      <c r="B2" s="3" t="s">
        <v>1</v>
      </c>
      <c r="C2" s="4" t="s">
        <v>2</v>
      </c>
      <c r="D2" s="5" t="s">
        <v>3</v>
      </c>
      <c r="E2" s="4" t="s">
        <v>9</v>
      </c>
      <c r="F2" s="4" t="s">
        <v>10</v>
      </c>
      <c r="G2" s="4" t="s">
        <v>11</v>
      </c>
      <c r="H2" s="4" t="s">
        <v>13</v>
      </c>
      <c r="I2" s="4" t="s">
        <v>66</v>
      </c>
      <c r="J2" s="4" t="s">
        <v>67</v>
      </c>
      <c r="K2" s="4" t="s">
        <v>68</v>
      </c>
    </row>
    <row r="3" spans="2:11" ht="26">
      <c r="B3" s="6">
        <v>1</v>
      </c>
      <c r="C3" s="7" t="s">
        <v>18</v>
      </c>
      <c r="D3" s="8" t="s">
        <v>19</v>
      </c>
      <c r="E3" s="9">
        <v>200</v>
      </c>
      <c r="F3" s="9">
        <v>6</v>
      </c>
      <c r="G3" s="9">
        <v>6</v>
      </c>
      <c r="H3" s="9">
        <v>3</v>
      </c>
      <c r="I3" s="9">
        <v>3</v>
      </c>
      <c r="J3" s="9">
        <v>2</v>
      </c>
      <c r="K3" s="9">
        <v>2</v>
      </c>
    </row>
    <row r="4" spans="2:11" ht="26">
      <c r="B4" s="10">
        <v>2</v>
      </c>
      <c r="C4" s="11" t="s">
        <v>18</v>
      </c>
      <c r="D4" s="12" t="s">
        <v>24</v>
      </c>
      <c r="E4" s="13">
        <v>200</v>
      </c>
      <c r="F4" s="13">
        <v>6</v>
      </c>
      <c r="G4" s="13">
        <v>6</v>
      </c>
      <c r="H4" s="13">
        <v>3</v>
      </c>
      <c r="I4" s="9">
        <v>3</v>
      </c>
      <c r="J4" s="9">
        <v>2</v>
      </c>
      <c r="K4" s="9">
        <v>2</v>
      </c>
    </row>
    <row r="5" spans="2:11" ht="26">
      <c r="B5" s="10">
        <v>8</v>
      </c>
      <c r="C5" s="11" t="s">
        <v>18</v>
      </c>
      <c r="D5" s="12" t="s">
        <v>42</v>
      </c>
      <c r="E5" s="13" t="s">
        <v>38</v>
      </c>
      <c r="F5" s="13">
        <v>2</v>
      </c>
      <c r="G5" s="13">
        <v>2</v>
      </c>
      <c r="H5" s="13">
        <v>0</v>
      </c>
      <c r="I5" s="13" t="s">
        <v>37</v>
      </c>
      <c r="J5" s="13" t="s">
        <v>37</v>
      </c>
      <c r="K5" s="13" t="s">
        <v>37</v>
      </c>
    </row>
    <row r="6" spans="2:11" ht="26">
      <c r="B6" s="10">
        <v>9</v>
      </c>
      <c r="C6" s="11" t="s">
        <v>18</v>
      </c>
      <c r="D6" s="12" t="s">
        <v>47</v>
      </c>
      <c r="E6" s="13" t="s">
        <v>38</v>
      </c>
      <c r="F6" s="13">
        <v>2</v>
      </c>
      <c r="G6" s="13">
        <v>2</v>
      </c>
      <c r="H6" s="13">
        <v>0</v>
      </c>
      <c r="I6" s="13" t="s">
        <v>37</v>
      </c>
      <c r="J6" s="13" t="s">
        <v>37</v>
      </c>
      <c r="K6" s="13" t="s">
        <v>37</v>
      </c>
    </row>
    <row r="7" spans="2:11" ht="26">
      <c r="B7" s="10">
        <v>10</v>
      </c>
      <c r="C7" s="11" t="s">
        <v>18</v>
      </c>
      <c r="D7" s="12" t="s">
        <v>48</v>
      </c>
      <c r="E7" s="13" t="s">
        <v>38</v>
      </c>
      <c r="F7" s="13">
        <v>2</v>
      </c>
      <c r="G7" s="13">
        <v>2</v>
      </c>
      <c r="H7" s="13">
        <v>0</v>
      </c>
      <c r="I7" s="13" t="s">
        <v>37</v>
      </c>
      <c r="J7" s="13" t="s">
        <v>37</v>
      </c>
      <c r="K7" s="13" t="s">
        <v>37</v>
      </c>
    </row>
    <row r="8" spans="2:11" ht="26">
      <c r="B8" s="10">
        <v>11</v>
      </c>
      <c r="C8" s="11" t="s">
        <v>18</v>
      </c>
      <c r="D8" s="12" t="s">
        <v>49</v>
      </c>
      <c r="E8" s="13" t="s">
        <v>38</v>
      </c>
      <c r="F8" s="13">
        <v>2</v>
      </c>
      <c r="G8" s="13">
        <v>2</v>
      </c>
      <c r="H8" s="13">
        <v>0</v>
      </c>
      <c r="I8" s="13" t="s">
        <v>37</v>
      </c>
      <c r="J8" s="13" t="s">
        <v>37</v>
      </c>
      <c r="K8" s="13" t="s">
        <v>37</v>
      </c>
    </row>
    <row r="9" spans="2:11" ht="26">
      <c r="B9" s="10">
        <v>12</v>
      </c>
      <c r="C9" s="11" t="s">
        <v>18</v>
      </c>
      <c r="D9" s="12" t="s">
        <v>50</v>
      </c>
      <c r="E9" s="13" t="s">
        <v>38</v>
      </c>
      <c r="F9" s="13">
        <v>2</v>
      </c>
      <c r="G9" s="13">
        <v>2</v>
      </c>
      <c r="H9" s="13">
        <v>0</v>
      </c>
      <c r="I9" s="13" t="s">
        <v>37</v>
      </c>
      <c r="J9" s="13" t="s">
        <v>37</v>
      </c>
      <c r="K9" s="13" t="s">
        <v>37</v>
      </c>
    </row>
    <row r="10" spans="2:11" ht="26">
      <c r="B10" s="10">
        <v>13</v>
      </c>
      <c r="C10" s="11" t="s">
        <v>18</v>
      </c>
      <c r="D10" s="12" t="s">
        <v>53</v>
      </c>
      <c r="E10" s="13" t="s">
        <v>38</v>
      </c>
      <c r="F10" s="13">
        <v>2</v>
      </c>
      <c r="G10" s="13">
        <v>2</v>
      </c>
      <c r="H10" s="13">
        <v>0</v>
      </c>
      <c r="I10" s="13" t="s">
        <v>37</v>
      </c>
      <c r="J10" s="13" t="s">
        <v>37</v>
      </c>
      <c r="K10" s="13" t="s">
        <v>37</v>
      </c>
    </row>
    <row r="11" spans="2:11" ht="26">
      <c r="B11" s="10">
        <v>14</v>
      </c>
      <c r="C11" s="11" t="s">
        <v>18</v>
      </c>
      <c r="D11" s="12" t="s">
        <v>54</v>
      </c>
      <c r="E11" s="13" t="s">
        <v>38</v>
      </c>
      <c r="F11" s="13">
        <v>2</v>
      </c>
      <c r="G11" s="13">
        <v>2</v>
      </c>
      <c r="H11" s="13">
        <v>0</v>
      </c>
      <c r="I11" s="13" t="s">
        <v>37</v>
      </c>
      <c r="J11" s="13" t="s">
        <v>37</v>
      </c>
      <c r="K11" s="13" t="s">
        <v>37</v>
      </c>
    </row>
    <row r="12" spans="2:11" ht="26">
      <c r="B12" s="10">
        <v>15</v>
      </c>
      <c r="C12" s="11" t="s">
        <v>18</v>
      </c>
      <c r="D12" s="12" t="s">
        <v>55</v>
      </c>
      <c r="E12" s="13" t="s">
        <v>38</v>
      </c>
      <c r="F12" s="13">
        <v>2</v>
      </c>
      <c r="G12" s="13">
        <v>2</v>
      </c>
      <c r="H12" s="13">
        <v>0</v>
      </c>
      <c r="I12" s="13" t="s">
        <v>37</v>
      </c>
      <c r="J12" s="13" t="s">
        <v>37</v>
      </c>
      <c r="K12" s="13" t="s">
        <v>37</v>
      </c>
    </row>
    <row r="13" spans="2:11" ht="26">
      <c r="B13" s="10">
        <v>16</v>
      </c>
      <c r="C13" s="11" t="s">
        <v>18</v>
      </c>
      <c r="D13" s="12" t="s">
        <v>58</v>
      </c>
      <c r="E13" s="13" t="s">
        <v>38</v>
      </c>
      <c r="F13" s="13">
        <v>2</v>
      </c>
      <c r="G13" s="13">
        <v>2</v>
      </c>
      <c r="H13" s="13">
        <v>0</v>
      </c>
      <c r="I13" s="13" t="s">
        <v>37</v>
      </c>
      <c r="J13" s="13" t="s">
        <v>37</v>
      </c>
      <c r="K13" s="13" t="s">
        <v>37</v>
      </c>
    </row>
    <row r="14" spans="2:11" ht="26">
      <c r="B14" s="10">
        <v>17</v>
      </c>
      <c r="C14" s="11" t="s">
        <v>18</v>
      </c>
      <c r="D14" s="12" t="s">
        <v>59</v>
      </c>
      <c r="E14" s="13" t="s">
        <v>38</v>
      </c>
      <c r="F14" s="13">
        <v>2</v>
      </c>
      <c r="G14" s="13">
        <v>2</v>
      </c>
      <c r="H14" s="13">
        <v>0</v>
      </c>
      <c r="I14" s="13" t="s">
        <v>37</v>
      </c>
      <c r="J14" s="13" t="s">
        <v>37</v>
      </c>
      <c r="K14" s="13" t="s">
        <v>37</v>
      </c>
    </row>
    <row r="15" spans="2:11" ht="26">
      <c r="B15" s="10">
        <v>18</v>
      </c>
      <c r="C15" s="11" t="s">
        <v>18</v>
      </c>
      <c r="D15" s="12" t="s">
        <v>60</v>
      </c>
      <c r="E15" s="13" t="s">
        <v>38</v>
      </c>
      <c r="F15" s="13">
        <v>2</v>
      </c>
      <c r="G15" s="13">
        <v>2</v>
      </c>
      <c r="H15" s="13">
        <v>0</v>
      </c>
      <c r="I15" s="13" t="s">
        <v>37</v>
      </c>
      <c r="J15" s="13" t="s">
        <v>37</v>
      </c>
      <c r="K15" s="13" t="s">
        <v>37</v>
      </c>
    </row>
    <row r="16" spans="2:11" ht="26">
      <c r="B16" s="10">
        <v>19</v>
      </c>
      <c r="C16" s="11" t="s">
        <v>18</v>
      </c>
      <c r="D16" s="12" t="s">
        <v>61</v>
      </c>
      <c r="E16" s="13" t="s">
        <v>38</v>
      </c>
      <c r="F16" s="13">
        <v>2</v>
      </c>
      <c r="G16" s="13">
        <v>2</v>
      </c>
      <c r="H16" s="13">
        <v>0</v>
      </c>
      <c r="I16" s="13" t="s">
        <v>37</v>
      </c>
      <c r="J16" s="13" t="s">
        <v>37</v>
      </c>
      <c r="K16" s="13" t="s">
        <v>37</v>
      </c>
    </row>
    <row r="17" spans="2:11" ht="26">
      <c r="B17" s="10">
        <v>20</v>
      </c>
      <c r="C17" s="11" t="s">
        <v>18</v>
      </c>
      <c r="D17" s="12" t="s">
        <v>64</v>
      </c>
      <c r="E17" s="13" t="s">
        <v>38</v>
      </c>
      <c r="F17" s="13">
        <v>2</v>
      </c>
      <c r="G17" s="13">
        <v>2</v>
      </c>
      <c r="H17" s="13">
        <v>0</v>
      </c>
      <c r="I17" s="13" t="s">
        <v>37</v>
      </c>
      <c r="J17" s="13" t="s">
        <v>37</v>
      </c>
      <c r="K17" s="13" t="s">
        <v>37</v>
      </c>
    </row>
    <row r="18" spans="2:11" ht="26">
      <c r="B18" s="14">
        <v>21</v>
      </c>
      <c r="C18" s="15" t="s">
        <v>18</v>
      </c>
      <c r="D18" s="16" t="s">
        <v>65</v>
      </c>
      <c r="E18" s="17" t="s">
        <v>38</v>
      </c>
      <c r="F18" s="17">
        <v>2</v>
      </c>
      <c r="G18" s="17">
        <v>2</v>
      </c>
      <c r="H18" s="17">
        <v>0</v>
      </c>
      <c r="I18" s="17" t="s">
        <v>37</v>
      </c>
      <c r="J18" s="17" t="s">
        <v>37</v>
      </c>
      <c r="K18" s="17" t="s">
        <v>37</v>
      </c>
    </row>
    <row r="19" spans="2:11" ht="79" customHeight="1">
      <c r="B19" s="18"/>
      <c r="C19" s="18"/>
      <c r="D19" s="40" t="s">
        <v>69</v>
      </c>
      <c r="E19" s="19">
        <f t="shared" ref="E19:K19" si="0">SUM(E3:E18)</f>
        <v>400</v>
      </c>
      <c r="F19" s="19">
        <f t="shared" si="0"/>
        <v>40</v>
      </c>
      <c r="G19" s="19">
        <f t="shared" si="0"/>
        <v>40</v>
      </c>
      <c r="H19" s="19">
        <f t="shared" si="0"/>
        <v>6</v>
      </c>
      <c r="I19" s="19">
        <f t="shared" si="0"/>
        <v>6</v>
      </c>
      <c r="J19" s="19">
        <f t="shared" si="0"/>
        <v>4</v>
      </c>
      <c r="K19" s="19">
        <f t="shared" si="0"/>
        <v>4</v>
      </c>
    </row>
    <row r="20" spans="2:11" ht="123.75" customHeight="1">
      <c r="D20" s="41" t="s">
        <v>70</v>
      </c>
    </row>
    <row r="21" spans="2:11">
      <c r="D21" s="41" t="s">
        <v>73</v>
      </c>
      <c r="E21" s="39"/>
      <c r="K21" s="39"/>
    </row>
    <row r="22" spans="2:11">
      <c r="D22" s="41" t="s">
        <v>71</v>
      </c>
      <c r="E22" s="39">
        <v>21020</v>
      </c>
      <c r="K22" s="39">
        <v>100000</v>
      </c>
    </row>
    <row r="23" spans="2:11">
      <c r="D23" s="41" t="s">
        <v>72</v>
      </c>
      <c r="E23" s="42">
        <f>E21*E19</f>
        <v>0</v>
      </c>
      <c r="F23" s="42"/>
      <c r="G23" s="42"/>
      <c r="H23" s="42"/>
      <c r="I23" s="42"/>
      <c r="J23" s="42"/>
      <c r="K23" s="42"/>
    </row>
  </sheetData>
  <mergeCells count="2">
    <mergeCell ref="B1:K1"/>
    <mergeCell ref="E23:K2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北京提交</vt:lpstr>
      <vt:lpstr>审核后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Muharram Al Harmain</dc:creator>
  <cp:lastModifiedBy>Aris Fajar</cp:lastModifiedBy>
  <dcterms:created xsi:type="dcterms:W3CDTF">2015-06-05T18:17:00Z</dcterms:created>
  <dcterms:modified xsi:type="dcterms:W3CDTF">2024-09-26T09:27:13Z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1E5091432A1A48CDBA9E28922532194E_13</vt:lpwstr>
  </property>
  <property fmtid="{D5CDD505-2E9C-101B-9397-08002B2CF9AE}" pid="3" name="KSOProductBuildVer">
    <vt:lpwstr>2052-12.1.0.18240</vt:lpwstr>
  </property>
</Properties>
</file>