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D:\FILE KULIAH\PRAKTIK INDUSTRI &amp; MAGANG\MAGANG MANDIRI\PT Mitra Bakti United Tractor\BUSDEV\"/>
    </mc:Choice>
  </mc:AlternateContent>
  <xr:revisionPtr revIDLastSave="0" documentId="13_ncr:1_{752A6BF3-C05A-454D-8768-38C5389AAC4A}" xr6:coauthVersionLast="47" xr6:coauthVersionMax="47" xr10:uidLastSave="{00000000-0000-0000-0000-000000000000}"/>
  <bookViews>
    <workbookView xWindow="5760" yWindow="3360" windowWidth="17280" windowHeight="8880" activeTab="2" xr2:uid="{2E5FA039-290C-41F7-BE77-75B53D4391A5}"/>
  </bookViews>
  <sheets>
    <sheet name="UTPE" sheetId="1" r:id="rId1"/>
    <sheet name="KRA" sheetId="2" r:id="rId2"/>
    <sheet name="Lembar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3" l="1"/>
  <c r="F10" i="3"/>
  <c r="F8" i="3"/>
  <c r="G8" i="3" s="1"/>
  <c r="F7" i="3"/>
  <c r="G7" i="3" s="1"/>
  <c r="F6" i="3"/>
  <c r="G6" i="3" s="1"/>
  <c r="F5" i="3"/>
  <c r="G5" i="3" s="1"/>
  <c r="G10" i="3"/>
  <c r="G9" i="3"/>
  <c r="F9" i="1"/>
  <c r="G9" i="1" s="1"/>
  <c r="F4" i="2"/>
  <c r="G4" i="2" s="1"/>
  <c r="G3" i="2"/>
  <c r="F3" i="2"/>
  <c r="F10" i="1" l="1"/>
  <c r="G10" i="1" s="1"/>
  <c r="F8" i="1"/>
  <c r="G8" i="1" s="1"/>
  <c r="F7" i="1"/>
  <c r="G7" i="1" s="1"/>
  <c r="F6" i="1"/>
  <c r="G6" i="1" s="1"/>
  <c r="F5" i="1"/>
  <c r="G5" i="1" s="1"/>
  <c r="F4" i="1"/>
  <c r="G4" i="1" s="1"/>
</calcChain>
</file>

<file path=xl/sharedStrings.xml><?xml version="1.0" encoding="utf-8"?>
<sst xmlns="http://schemas.openxmlformats.org/spreadsheetml/2006/main" count="65" uniqueCount="34">
  <si>
    <t>NO LD</t>
  </si>
  <si>
    <t>Nama Pekerjaan</t>
  </si>
  <si>
    <t>LD 01114</t>
  </si>
  <si>
    <t>LD 01114 - Draft Penawaran Harga Jasa Penyedia Tenaga Kerja Cleaning Service &amp; Office Boy UTPE Plant Pekanbaru 2026</t>
  </si>
  <si>
    <t>Deviasi</t>
  </si>
  <si>
    <t>%</t>
  </si>
  <si>
    <t>Remarks</t>
  </si>
  <si>
    <t>- Kenaikan UMK
- Seragam 70.000 menjadi 135.000
- Tunjangan Lain-Lain A/N Roji Burhan (20.000 naik jadi 30.000</t>
  </si>
  <si>
    <t>LD 01115 - Draft Penawaran Harga Jasa Penyedia Tenaga Kerja Cleaning Service &amp; Office Boy  UTPE Plant Balikpapan 2026 (RBPM - RBPS)</t>
  </si>
  <si>
    <t>LD 01115</t>
  </si>
  <si>
    <t>LD 01116 - Draft Penawaran Harga Jasa Penyedia Tenaga Kerja Cleaning Service &amp; Office Boy UTPE Plant Balikpapan 2026 (RBPC - RBPF)</t>
  </si>
  <si>
    <t>LD 01116</t>
  </si>
  <si>
    <t>LD 01117 - Draft Penawaran Harga Jasa Penyedia Tenaga Kerja Cleaning Service PT United Tractors Pandu Engineering 2026 - Plant Balikpapan</t>
  </si>
  <si>
    <t>LD 01117</t>
  </si>
  <si>
    <t>LD 01118</t>
  </si>
  <si>
    <t>LD 01118 - Draft Penawaran Harga Jasa Penyedia Tenaga Kerja Cleaning Service PT United Tractors Pandu Engineering 2026 - Plant Jakarta</t>
  </si>
  <si>
    <t>LD 01148 - Draft Penawaran Harga Jasa Penyedia Tenaga Kerja Cleaning Service PT United Tractors Pandu Engineering 2026 - Wing lt5</t>
  </si>
  <si>
    <t>LD 01148</t>
  </si>
  <si>
    <t>- Kenaikan UMK</t>
  </si>
  <si>
    <t>LD 01149 - Draft Penawaran Harga Jasa Penyedia Tenaga Kerja Cleaning Service PT United Tractors Pandu Engineering 2026 - Cikarang</t>
  </si>
  <si>
    <t>LD 01067 - Penawaran Harga Jasa Penyedia Facility Services PT Komatsu Remanufacturing Asia 2026 (R0)</t>
  </si>
  <si>
    <t>LD 01067</t>
  </si>
  <si>
    <t>LD 01066 - Penawaran Harga Penyedia Jasa Tenaga Kerja Aviary PT Komatsu Remanufacturing Asia 2026 (R0)</t>
  </si>
  <si>
    <t>LOST DEAL</t>
  </si>
  <si>
    <t>- Kenaikan UMK
- Seragam 70.000 (tetap)
- Management Fee 2025 (8%), Management Fee 2026 (5%)
- MCU CoF (3%)
- Apresiasi CoF (1%)
- Lembur akan ditagihkan secara aktual</t>
  </si>
  <si>
    <t>CoF (Cost of Fund)</t>
  </si>
  <si>
    <t>GP</t>
  </si>
  <si>
    <t>GP 2026</t>
  </si>
  <si>
    <t>Nomor LD</t>
  </si>
  <si>
    <t>Deskripsi</t>
  </si>
  <si>
    <t>Publish 2026</t>
  </si>
  <si>
    <t>Cost 2026</t>
  </si>
  <si>
    <t xml:space="preserve">Margin </t>
  </si>
  <si>
    <t>LD 01149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</si>
</sst>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quotePrefix="1" applyBorder="1" applyAlignment="1">
      <alignment horizontal="left" vertical="center" wrapText="1"/>
    </xf>
    <xf numFmtId="164" fontId="0" fillId="0" borderId="1" xfId="1" applyNumberFormat="1" applyFont="1" applyBorder="1" applyAlignment="1">
      <alignment horizontal="right" vertical="center"/>
    </xf>
    <xf numFmtId="164" fontId="0" fillId="0" borderId="1" xfId="1" applyNumberFormat="1" applyFon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0" fontId="0" fillId="0" borderId="1" xfId="2" applyNumberFormat="1" applyFont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164" fontId="0" fillId="3" borderId="1" xfId="1" applyNumberFormat="1" applyFont="1" applyFill="1" applyBorder="1" applyAlignment="1">
      <alignment horizontal="right" vertical="center"/>
    </xf>
    <xf numFmtId="164" fontId="0" fillId="3" borderId="1" xfId="1" applyNumberFormat="1" applyFon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10" fontId="0" fillId="3" borderId="1" xfId="2" applyNumberFormat="1" applyFont="1" applyFill="1" applyBorder="1" applyAlignment="1">
      <alignment horizontal="right" vertical="center"/>
    </xf>
    <xf numFmtId="0" fontId="0" fillId="3" borderId="1" xfId="0" quotePrefix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43" fontId="0" fillId="0" borderId="1" xfId="1" applyFont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</cellXfs>
  <cellStyles count="3">
    <cellStyle name="Koma" xfId="1" builtinId="3"/>
    <cellStyle name="Normal" xfId="0" builtinId="0"/>
    <cellStyle name="Persen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EC8D9-E135-4DC8-820E-9BCEF6932155}">
  <dimension ref="B3:J12"/>
  <sheetViews>
    <sheetView zoomScaleNormal="100" workbookViewId="0">
      <selection activeCell="E5" sqref="E5"/>
    </sheetView>
  </sheetViews>
  <sheetFormatPr defaultRowHeight="13.8" x14ac:dyDescent="0.25"/>
  <cols>
    <col min="2" max="2" width="12.19921875" customWidth="1"/>
    <col min="3" max="3" width="34.69921875" customWidth="1"/>
    <col min="4" max="6" width="13.59765625" customWidth="1"/>
    <col min="7" max="8" width="8.59765625" customWidth="1"/>
    <col min="9" max="9" width="32.59765625" customWidth="1"/>
    <col min="10" max="10" width="30.09765625" customWidth="1"/>
  </cols>
  <sheetData>
    <row r="3" spans="2:10" x14ac:dyDescent="0.25">
      <c r="B3" s="2" t="s">
        <v>0</v>
      </c>
      <c r="C3" s="2" t="s">
        <v>1</v>
      </c>
      <c r="D3" s="2">
        <v>2025</v>
      </c>
      <c r="E3" s="2">
        <v>2026</v>
      </c>
      <c r="F3" s="2" t="s">
        <v>4</v>
      </c>
      <c r="G3" s="2" t="s">
        <v>5</v>
      </c>
      <c r="H3" s="2" t="s">
        <v>27</v>
      </c>
      <c r="I3" s="2" t="s">
        <v>6</v>
      </c>
    </row>
    <row r="4" spans="2:10" ht="55.2" x14ac:dyDescent="0.25">
      <c r="B4" s="12" t="s">
        <v>2</v>
      </c>
      <c r="C4" s="13" t="s">
        <v>3</v>
      </c>
      <c r="D4" s="14">
        <v>16164300</v>
      </c>
      <c r="E4" s="15">
        <v>17697900</v>
      </c>
      <c r="F4" s="16">
        <f t="shared" ref="F4:F10" si="0">E4-D4</f>
        <v>1533600</v>
      </c>
      <c r="G4" s="17">
        <f t="shared" ref="G4:G9" si="1">F4/D4</f>
        <v>9.4875744696646308E-2</v>
      </c>
      <c r="H4" s="17"/>
      <c r="I4" s="18" t="s">
        <v>7</v>
      </c>
      <c r="J4" t="s">
        <v>23</v>
      </c>
    </row>
    <row r="5" spans="2:10" ht="110.4" x14ac:dyDescent="0.25">
      <c r="B5" s="4" t="s">
        <v>9</v>
      </c>
      <c r="C5" s="1" t="s">
        <v>8</v>
      </c>
      <c r="D5" s="8">
        <v>32757000</v>
      </c>
      <c r="E5" s="8">
        <v>32718600</v>
      </c>
      <c r="F5" s="9">
        <f t="shared" si="0"/>
        <v>-38400</v>
      </c>
      <c r="G5" s="10">
        <f t="shared" si="1"/>
        <v>-1.1722685227584944E-3</v>
      </c>
      <c r="H5" s="10"/>
      <c r="I5" s="6" t="s">
        <v>24</v>
      </c>
    </row>
    <row r="6" spans="2:10" ht="110.4" x14ac:dyDescent="0.25">
      <c r="B6" s="4" t="s">
        <v>11</v>
      </c>
      <c r="C6" s="1" t="s">
        <v>10</v>
      </c>
      <c r="D6" s="8">
        <v>38895900</v>
      </c>
      <c r="E6" s="8">
        <v>38051700</v>
      </c>
      <c r="F6" s="9">
        <f t="shared" si="0"/>
        <v>-844200</v>
      </c>
      <c r="G6" s="10">
        <f t="shared" si="1"/>
        <v>-2.1704087063160897E-2</v>
      </c>
      <c r="H6" s="10"/>
      <c r="I6" s="6" t="s">
        <v>24</v>
      </c>
    </row>
    <row r="7" spans="2:10" ht="110.4" x14ac:dyDescent="0.25">
      <c r="B7" s="4" t="s">
        <v>13</v>
      </c>
      <c r="C7" s="1" t="s">
        <v>12</v>
      </c>
      <c r="D7" s="8">
        <v>10794600</v>
      </c>
      <c r="E7" s="8">
        <v>10856200</v>
      </c>
      <c r="F7" s="9">
        <f t="shared" si="0"/>
        <v>61600</v>
      </c>
      <c r="G7" s="10">
        <f t="shared" si="1"/>
        <v>5.706556982194801E-3</v>
      </c>
      <c r="H7" s="10"/>
      <c r="I7" s="6" t="s">
        <v>24</v>
      </c>
    </row>
    <row r="8" spans="2:10" ht="110.4" x14ac:dyDescent="0.25">
      <c r="B8" s="4" t="s">
        <v>14</v>
      </c>
      <c r="C8" s="1" t="s">
        <v>15</v>
      </c>
      <c r="D8" s="11">
        <v>15484800</v>
      </c>
      <c r="E8" s="11">
        <v>15862600</v>
      </c>
      <c r="F8" s="9">
        <f t="shared" si="0"/>
        <v>377800</v>
      </c>
      <c r="G8" s="10">
        <f t="shared" si="1"/>
        <v>2.4398119446166565E-2</v>
      </c>
      <c r="H8" s="10"/>
      <c r="I8" s="6" t="s">
        <v>24</v>
      </c>
    </row>
    <row r="9" spans="2:10" ht="110.4" x14ac:dyDescent="0.25">
      <c r="B9" s="3" t="s">
        <v>17</v>
      </c>
      <c r="C9" s="1" t="s">
        <v>16</v>
      </c>
      <c r="D9" s="11">
        <v>45599899</v>
      </c>
      <c r="E9" s="11">
        <v>47040315</v>
      </c>
      <c r="F9" s="9">
        <f t="shared" si="0"/>
        <v>1440416</v>
      </c>
      <c r="G9" s="10">
        <f t="shared" si="1"/>
        <v>3.1588140140398117E-2</v>
      </c>
      <c r="H9" s="10"/>
      <c r="I9" s="6" t="s">
        <v>24</v>
      </c>
    </row>
    <row r="10" spans="2:10" ht="110.4" x14ac:dyDescent="0.25">
      <c r="B10" s="3" t="s">
        <v>17</v>
      </c>
      <c r="C10" s="1" t="s">
        <v>19</v>
      </c>
      <c r="D10" s="11">
        <v>527240400</v>
      </c>
      <c r="E10" s="11">
        <v>543539000</v>
      </c>
      <c r="F10" s="9">
        <f t="shared" si="0"/>
        <v>16298600</v>
      </c>
      <c r="G10" s="10">
        <f>F10/E10</f>
        <v>2.9986072756508733E-2</v>
      </c>
      <c r="H10" s="10"/>
      <c r="I10" s="6" t="s">
        <v>24</v>
      </c>
    </row>
    <row r="12" spans="2:10" x14ac:dyDescent="0.25">
      <c r="I12" s="1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7F232-BCDD-4142-B960-57662229963D}">
  <dimension ref="B2:H4"/>
  <sheetViews>
    <sheetView workbookViewId="0">
      <selection activeCell="B3" sqref="B3"/>
    </sheetView>
  </sheetViews>
  <sheetFormatPr defaultRowHeight="13.8" x14ac:dyDescent="0.25"/>
  <cols>
    <col min="2" max="2" width="11.09765625" customWidth="1"/>
    <col min="3" max="3" width="33.796875" customWidth="1"/>
    <col min="4" max="4" width="15" customWidth="1"/>
    <col min="5" max="5" width="15.8984375" customWidth="1"/>
    <col min="6" max="6" width="15.09765625" customWidth="1"/>
    <col min="7" max="7" width="9.296875" customWidth="1"/>
    <col min="8" max="8" width="20.59765625" customWidth="1"/>
  </cols>
  <sheetData>
    <row r="2" spans="2:8" x14ac:dyDescent="0.25">
      <c r="B2" s="2" t="s">
        <v>0</v>
      </c>
      <c r="C2" s="2" t="s">
        <v>1</v>
      </c>
      <c r="D2" s="2">
        <v>2025</v>
      </c>
      <c r="E2" s="2">
        <v>2026</v>
      </c>
      <c r="F2" s="2" t="s">
        <v>4</v>
      </c>
      <c r="G2" s="2" t="s">
        <v>5</v>
      </c>
      <c r="H2" s="2" t="s">
        <v>6</v>
      </c>
    </row>
    <row r="3" spans="2:8" ht="41.4" x14ac:dyDescent="0.25">
      <c r="B3" s="4" t="s">
        <v>21</v>
      </c>
      <c r="C3" s="5" t="s">
        <v>20</v>
      </c>
      <c r="D3" s="7">
        <v>106167900</v>
      </c>
      <c r="E3" s="8">
        <v>110046300</v>
      </c>
      <c r="F3" s="9">
        <f>E3-D3</f>
        <v>3878400</v>
      </c>
      <c r="G3" s="10">
        <f>F3/D3</f>
        <v>3.6530815811558863E-2</v>
      </c>
      <c r="H3" s="6" t="s">
        <v>18</v>
      </c>
    </row>
    <row r="4" spans="2:8" ht="41.4" x14ac:dyDescent="0.25">
      <c r="B4" s="4" t="s">
        <v>21</v>
      </c>
      <c r="C4" s="5" t="s">
        <v>22</v>
      </c>
      <c r="D4" s="7">
        <v>5618700</v>
      </c>
      <c r="E4" s="11">
        <v>5831400</v>
      </c>
      <c r="F4" s="9">
        <f>E4-D4</f>
        <v>212700</v>
      </c>
      <c r="G4" s="10">
        <f>F4/D4</f>
        <v>3.7855731752896575E-2</v>
      </c>
      <c r="H4" s="6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E9C2A-B19E-4C84-9862-1220E6B1B454}">
  <dimension ref="B4:H10"/>
  <sheetViews>
    <sheetView tabSelected="1" zoomScale="70" zoomScaleNormal="70" workbookViewId="0">
      <selection activeCell="L5" sqref="L5"/>
    </sheetView>
  </sheetViews>
  <sheetFormatPr defaultRowHeight="13.8" x14ac:dyDescent="0.25"/>
  <cols>
    <col min="3" max="3" width="25.19921875" customWidth="1"/>
    <col min="4" max="4" width="17.69921875" customWidth="1"/>
    <col min="5" max="5" width="17.296875" customWidth="1"/>
    <col min="6" max="6" width="16.296875" customWidth="1"/>
    <col min="8" max="8" width="35.8984375" customWidth="1"/>
  </cols>
  <sheetData>
    <row r="4" spans="2:8" x14ac:dyDescent="0.25">
      <c r="B4" s="22" t="s">
        <v>28</v>
      </c>
      <c r="C4" s="22" t="s">
        <v>29</v>
      </c>
      <c r="D4" s="22" t="s">
        <v>30</v>
      </c>
      <c r="E4" s="22" t="s">
        <v>31</v>
      </c>
      <c r="F4" s="22" t="s">
        <v>32</v>
      </c>
      <c r="G4" s="22" t="s">
        <v>26</v>
      </c>
      <c r="H4" s="22" t="s">
        <v>6</v>
      </c>
    </row>
    <row r="5" spans="2:8" ht="124.2" x14ac:dyDescent="0.25">
      <c r="B5" s="4" t="s">
        <v>9</v>
      </c>
      <c r="C5" s="21" t="s">
        <v>8</v>
      </c>
      <c r="D5" s="20">
        <v>32718600</v>
      </c>
      <c r="E5" s="20">
        <v>31436175</v>
      </c>
      <c r="F5" s="20">
        <f>D5-E5</f>
        <v>1282425</v>
      </c>
      <c r="G5" s="10">
        <f t="shared" ref="G5:G9" si="0">F5/D5</f>
        <v>3.9195595166052338E-2</v>
      </c>
      <c r="H5" s="6" t="s">
        <v>24</v>
      </c>
    </row>
    <row r="6" spans="2:8" ht="124.2" x14ac:dyDescent="0.25">
      <c r="B6" s="4" t="s">
        <v>11</v>
      </c>
      <c r="C6" s="21" t="s">
        <v>10</v>
      </c>
      <c r="D6" s="8">
        <v>38051700</v>
      </c>
      <c r="E6" s="8">
        <v>36555537</v>
      </c>
      <c r="F6" s="9">
        <f>D6-E6</f>
        <v>1496163</v>
      </c>
      <c r="G6" s="10">
        <f t="shared" si="0"/>
        <v>3.9319215698641587E-2</v>
      </c>
      <c r="H6" s="6" t="s">
        <v>24</v>
      </c>
    </row>
    <row r="7" spans="2:8" ht="124.2" x14ac:dyDescent="0.25">
      <c r="B7" s="4" t="s">
        <v>13</v>
      </c>
      <c r="C7" s="21" t="s">
        <v>12</v>
      </c>
      <c r="D7" s="8">
        <v>10856200</v>
      </c>
      <c r="E7" s="8">
        <v>10428725</v>
      </c>
      <c r="F7" s="9">
        <f>D7-E7</f>
        <v>427475</v>
      </c>
      <c r="G7" s="10">
        <f t="shared" si="0"/>
        <v>3.9376116873307422E-2</v>
      </c>
      <c r="H7" s="6" t="s">
        <v>24</v>
      </c>
    </row>
    <row r="8" spans="2:8" ht="124.2" x14ac:dyDescent="0.25">
      <c r="B8" s="4" t="s">
        <v>14</v>
      </c>
      <c r="C8" s="21" t="s">
        <v>15</v>
      </c>
      <c r="D8" s="11">
        <v>15862600</v>
      </c>
      <c r="E8" s="11">
        <v>15213016</v>
      </c>
      <c r="F8" s="9">
        <f>D8-E8</f>
        <v>649584</v>
      </c>
      <c r="G8" s="10">
        <f t="shared" si="0"/>
        <v>4.0950663825602363E-2</v>
      </c>
      <c r="H8" s="6" t="s">
        <v>24</v>
      </c>
    </row>
    <row r="9" spans="2:8" ht="124.2" x14ac:dyDescent="0.25">
      <c r="B9" s="3" t="s">
        <v>17</v>
      </c>
      <c r="C9" s="21" t="s">
        <v>16</v>
      </c>
      <c r="D9" s="11">
        <v>47040315</v>
      </c>
      <c r="E9" s="11">
        <v>43010301</v>
      </c>
      <c r="F9" s="9">
        <f>D9-E9</f>
        <v>4030014</v>
      </c>
      <c r="G9" s="10">
        <f t="shared" si="0"/>
        <v>8.5671492633499588E-2</v>
      </c>
      <c r="H9" s="6" t="s">
        <v>24</v>
      </c>
    </row>
    <row r="10" spans="2:8" ht="124.2" x14ac:dyDescent="0.25">
      <c r="B10" s="3" t="s">
        <v>33</v>
      </c>
      <c r="C10" s="21" t="s">
        <v>19</v>
      </c>
      <c r="D10" s="11">
        <v>543539000</v>
      </c>
      <c r="E10" s="11">
        <v>521959246</v>
      </c>
      <c r="F10" s="9">
        <f>D10-E10</f>
        <v>21579754</v>
      </c>
      <c r="G10" s="10">
        <f>F10/E10</f>
        <v>4.1343752726625708E-2</v>
      </c>
      <c r="H10" s="6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UTPE</vt:lpstr>
      <vt:lpstr>KRA</vt:lpstr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license</dc:creator>
  <cp:lastModifiedBy>Muhandis Lawdza'i Putra Sanjaya</cp:lastModifiedBy>
  <dcterms:created xsi:type="dcterms:W3CDTF">2026-01-24T03:58:21Z</dcterms:created>
  <dcterms:modified xsi:type="dcterms:W3CDTF">2026-01-29T09:49:37Z</dcterms:modified>
</cp:coreProperties>
</file>