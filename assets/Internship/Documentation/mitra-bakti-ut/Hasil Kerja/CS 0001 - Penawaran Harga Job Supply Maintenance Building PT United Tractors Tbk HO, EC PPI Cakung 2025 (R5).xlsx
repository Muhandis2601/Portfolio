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116EF843-E3E1-4682-8C97-139C6D44B630}" xr6:coauthVersionLast="47" xr6:coauthVersionMax="47" xr10:uidLastSave="{00000000-0000-0000-0000-000000000000}"/>
  <bookViews>
    <workbookView xWindow="-108" yWindow="-108" windowWidth="23256" windowHeight="12456" activeTab="6" xr2:uid="{55F836EC-E106-42AB-9AF8-0DE7AB2E0CB0}"/>
  </bookViews>
  <sheets>
    <sheet name="Covering Letter " sheetId="3" r:id="rId1"/>
    <sheet name="RECAP" sheetId="7" r:id="rId2"/>
    <sheet name="SC MP" sheetId="1" r:id="rId3"/>
    <sheet name="SERTIFIKASI" sheetId="14" r:id="rId4"/>
    <sheet name="VENDOR" sheetId="5" r:id="rId5"/>
    <sheet name="TOOLS-WORKING" sheetId="6" state="hidden" r:id="rId6"/>
    <sheet name="TOOLS" sheetId="15" r:id="rId7"/>
    <sheet name="TOOLS-PRINT" sheetId="16" r:id="rId8"/>
    <sheet name="LIST MP" sheetId="13" r:id="rId9"/>
  </sheets>
  <externalReferences>
    <externalReference r:id="rId10"/>
  </externalReferences>
  <definedNames>
    <definedName name="_______________________xlnm.Print_Area_7">#REF!</definedName>
    <definedName name="______________________xlnm.Print_Area_7" localSheetId="6">#REF!</definedName>
    <definedName name="______________________xlnm.Print_Area_7" localSheetId="7">#REF!</definedName>
    <definedName name="______________________xlnm.Print_Area_7">#REF!</definedName>
    <definedName name="_____________________xlnm.Print_Area_7" localSheetId="6">#REF!</definedName>
    <definedName name="_____________________xlnm.Print_Area_7" localSheetId="7">#REF!</definedName>
    <definedName name="_____________________xlnm.Print_Area_7">#REF!</definedName>
    <definedName name="____________________xlnm.Print_Area_7" localSheetId="6">#REF!</definedName>
    <definedName name="____________________xlnm.Print_Area_7" localSheetId="7">#REF!</definedName>
    <definedName name="____________________xlnm.Print_Area_7">#REF!</definedName>
    <definedName name="___________________xlnm.Print_Area_7" localSheetId="6">#REF!</definedName>
    <definedName name="___________________xlnm.Print_Area_7" localSheetId="7">#REF!</definedName>
    <definedName name="___________________xlnm.Print_Area_7">#REF!</definedName>
    <definedName name="__________________xlnm.Print_Area_7" localSheetId="0">#REF!</definedName>
    <definedName name="__________________xlnm.Print_Area_7" localSheetId="1">#REF!</definedName>
    <definedName name="__________________xlnm.Print_Area_7" localSheetId="6">#REF!</definedName>
    <definedName name="__________________xlnm.Print_Area_7" localSheetId="7">#REF!</definedName>
    <definedName name="__________________xlnm.Print_Area_7">#REF!</definedName>
    <definedName name="_________________xlnm.Print_Area_7" localSheetId="0">#REF!</definedName>
    <definedName name="_________________xlnm.Print_Area_7" localSheetId="1">#REF!</definedName>
    <definedName name="_________________xlnm.Print_Area_7" localSheetId="6">#REF!</definedName>
    <definedName name="_________________xlnm.Print_Area_7" localSheetId="7">#REF!</definedName>
    <definedName name="_________________xlnm.Print_Area_7">#REF!</definedName>
    <definedName name="________________xlnm.Print_Area_7" localSheetId="0">#REF!</definedName>
    <definedName name="________________xlnm.Print_Area_7">#REF!</definedName>
    <definedName name="_______________xlnm.Print_Area_7" localSheetId="1">#REF!</definedName>
    <definedName name="_______________xlnm.Print_Area_7" localSheetId="6">#REF!</definedName>
    <definedName name="_______________xlnm.Print_Area_7" localSheetId="7">#REF!</definedName>
    <definedName name="_______________xlnm.Print_Area_7">#REF!</definedName>
    <definedName name="______________xlnm.Print_Area_7" localSheetId="0">#REF!</definedName>
    <definedName name="______________xlnm.Print_Area_7" localSheetId="1">#REF!</definedName>
    <definedName name="______________xlnm.Print_Area_7" localSheetId="6">#REF!</definedName>
    <definedName name="______________xlnm.Print_Area_7" localSheetId="7">#REF!</definedName>
    <definedName name="______________xlnm.Print_Area_7">#REF!</definedName>
    <definedName name="_____________xlnm.Print_Area_7" localSheetId="0">#REF!</definedName>
    <definedName name="_____________xlnm.Print_Area_7" localSheetId="1">#REF!</definedName>
    <definedName name="_____________xlnm.Print_Area_7" localSheetId="6">#REF!</definedName>
    <definedName name="_____________xlnm.Print_Area_7" localSheetId="7">#REF!</definedName>
    <definedName name="_____________xlnm.Print_Area_7">#REF!</definedName>
    <definedName name="____________xlnm.Print_Area_7" localSheetId="1">#REF!</definedName>
    <definedName name="____________xlnm.Print_Area_7" localSheetId="6">#REF!</definedName>
    <definedName name="____________xlnm.Print_Area_7" localSheetId="7">#REF!</definedName>
    <definedName name="____________xlnm.Print_Area_7">#REF!</definedName>
    <definedName name="___________xlnm.Print_Area_7" localSheetId="1">#REF!</definedName>
    <definedName name="___________xlnm.Print_Area_7" localSheetId="6">#REF!</definedName>
    <definedName name="___________xlnm.Print_Area_7" localSheetId="7">#REF!</definedName>
    <definedName name="___________xlnm.Print_Area_7">#REF!</definedName>
    <definedName name="__________xlnm.Print_Area_7" localSheetId="1">#REF!</definedName>
    <definedName name="__________xlnm.Print_Area_7" localSheetId="6">#REF!</definedName>
    <definedName name="__________xlnm.Print_Area_7" localSheetId="7">#REF!</definedName>
    <definedName name="__________xlnm.Print_Area_7">#REF!</definedName>
    <definedName name="_________xlnm.Print_Area_7" localSheetId="0">#REF!</definedName>
    <definedName name="_________xlnm.Print_Area_7" localSheetId="1">#REF!</definedName>
    <definedName name="_________xlnm.Print_Area_7" localSheetId="6">#REF!</definedName>
    <definedName name="_________xlnm.Print_Area_7" localSheetId="7">#REF!</definedName>
    <definedName name="_________xlnm.Print_Area_7">#REF!</definedName>
    <definedName name="________xlnm.Print_Area_7" localSheetId="1">#REF!</definedName>
    <definedName name="________xlnm.Print_Area_7" localSheetId="6">#REF!</definedName>
    <definedName name="________xlnm.Print_Area_7" localSheetId="7">#REF!</definedName>
    <definedName name="________xlnm.Print_Area_7">#REF!</definedName>
    <definedName name="_______xlnm.Print_Area_7" localSheetId="1">#REF!</definedName>
    <definedName name="_______xlnm.Print_Area_7" localSheetId="6">#REF!</definedName>
    <definedName name="_______xlnm.Print_Area_7" localSheetId="7">#REF!</definedName>
    <definedName name="_______xlnm.Print_Area_7">#REF!</definedName>
    <definedName name="______xlnm.Print_Area_7" localSheetId="1">#REF!</definedName>
    <definedName name="______xlnm.Print_Area_7" localSheetId="6">#REF!</definedName>
    <definedName name="______xlnm.Print_Area_7" localSheetId="7">#REF!</definedName>
    <definedName name="______xlnm.Print_Area_7">#REF!</definedName>
    <definedName name="_____xlnm.Print_Area_7" localSheetId="1">#REF!</definedName>
    <definedName name="_____xlnm.Print_Area_7" localSheetId="6">#REF!</definedName>
    <definedName name="_____xlnm.Print_Area_7" localSheetId="7">#REF!</definedName>
    <definedName name="_____xlnm.Print_Area_7">#REF!</definedName>
    <definedName name="____xlnm.Print_Area_7" localSheetId="1">#REF!</definedName>
    <definedName name="____xlnm.Print_Area_7" localSheetId="6">#REF!</definedName>
    <definedName name="____xlnm.Print_Area_7" localSheetId="7">#REF!</definedName>
    <definedName name="____xlnm.Print_Area_7">#REF!</definedName>
    <definedName name="___xlnm.Print_Area_7" localSheetId="1">#REF!</definedName>
    <definedName name="___xlnm.Print_Area_7" localSheetId="6">#REF!</definedName>
    <definedName name="___xlnm.Print_Area_7" localSheetId="7">#REF!</definedName>
    <definedName name="___xlnm.Print_Area_7">#REF!</definedName>
    <definedName name="__xlnm.Print_Area_7" localSheetId="0">#REF!</definedName>
    <definedName name="__xlnm.Print_Area_7" localSheetId="1">#REF!</definedName>
    <definedName name="__xlnm.Print_Area_7" localSheetId="2">#REF!</definedName>
    <definedName name="__xlnm.Print_Area_7" localSheetId="6">#REF!</definedName>
    <definedName name="__xlnm.Print_Area_7" localSheetId="7">#REF!</definedName>
    <definedName name="__xlnm.Print_Area_7">#REF!</definedName>
    <definedName name="_xlnm._FilterDatabase" localSheetId="8" hidden="1">'LIST MP'!$B$13:$E$13</definedName>
    <definedName name="_xlnm._FilterDatabase" localSheetId="7" hidden="1">'TOOLS-PRINT'!$B$85:$G$142</definedName>
    <definedName name="_xlnm._FilterDatabase" localSheetId="5" hidden="1">'TOOLS-WORKING'!$B$20:$P$78</definedName>
    <definedName name="_xlnm.Print_Area" localSheetId="1">RECAP!$B$1:$H$149</definedName>
    <definedName name="_xlnm.Print_Area" localSheetId="2">'SC MP'!$B$2:$P$42</definedName>
    <definedName name="_xlnm.Print_Area" localSheetId="3">SERTIFIKASI!$A$1:$G$12</definedName>
    <definedName name="_xlnm.Print_Area" localSheetId="6">TOOLS!$B$2:$I$161</definedName>
    <definedName name="_xlnm.Print_Area" localSheetId="7">'TOOLS-PRINT'!$B$2:$F$160</definedName>
    <definedName name="_xlnm.Print_Area" localSheetId="5">'TOOLS-WORKING'!$A$1:$N$158</definedName>
    <definedName name="_xlnm.Print_Titles" localSheetId="1">RECAP!$21:$22</definedName>
    <definedName name="_xlnm.Print_Titles" localSheetId="7">'TOOLS-PRINT'!$13:$13</definedName>
    <definedName name="_xlnm.Print_Titles" localSheetId="5">'TOOLS-WORKING'!$8:$9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9" i="15" l="1"/>
  <c r="K162" i="15"/>
  <c r="J162" i="15"/>
  <c r="I161" i="15"/>
  <c r="J161" i="15" s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15" i="1"/>
  <c r="P63" i="1"/>
  <c r="P65" i="1" s="1"/>
  <c r="G120" i="7"/>
  <c r="G110" i="7"/>
  <c r="G111" i="7"/>
  <c r="G112" i="7"/>
  <c r="G113" i="7"/>
  <c r="G114" i="7"/>
  <c r="G115" i="7"/>
  <c r="G116" i="7"/>
  <c r="G117" i="7"/>
  <c r="G109" i="7"/>
  <c r="S118" i="7"/>
  <c r="E12" i="7"/>
  <c r="G25" i="7"/>
  <c r="S11" i="7"/>
  <c r="V11" i="7"/>
  <c r="E11" i="7" s="1"/>
  <c r="Q65" i="1" l="1"/>
  <c r="P66" i="1"/>
  <c r="J144" i="15"/>
  <c r="K161" i="15"/>
  <c r="J143" i="15"/>
  <c r="J21" i="15"/>
  <c r="F15" i="1"/>
  <c r="H15" i="5"/>
  <c r="J84" i="15" l="1"/>
  <c r="J22" i="15"/>
  <c r="J23" i="15"/>
  <c r="J83" i="15"/>
  <c r="P41" i="1"/>
  <c r="O63" i="1"/>
  <c r="N63" i="1"/>
  <c r="M63" i="1"/>
  <c r="L63" i="1"/>
  <c r="K63" i="1"/>
  <c r="J63" i="1"/>
  <c r="I63" i="1"/>
  <c r="H63" i="1"/>
  <c r="G63" i="1"/>
  <c r="F63" i="1"/>
  <c r="I83" i="15"/>
  <c r="F82" i="15"/>
  <c r="G82" i="15"/>
  <c r="I82" i="15" s="1"/>
  <c r="M146" i="15"/>
  <c r="C5" i="16" l="1"/>
  <c r="G149" i="15"/>
  <c r="I149" i="15" s="1"/>
  <c r="G150" i="15"/>
  <c r="I150" i="15" s="1"/>
  <c r="G151" i="15"/>
  <c r="I151" i="15" s="1"/>
  <c r="G152" i="15"/>
  <c r="I152" i="15" s="1"/>
  <c r="G153" i="15"/>
  <c r="I153" i="15" s="1"/>
  <c r="G154" i="15"/>
  <c r="I154" i="15" s="1"/>
  <c r="G155" i="15"/>
  <c r="I155" i="15" s="1"/>
  <c r="G156" i="15"/>
  <c r="I156" i="15" s="1"/>
  <c r="G157" i="15"/>
  <c r="I157" i="15" s="1"/>
  <c r="G158" i="15"/>
  <c r="I158" i="15" s="1"/>
  <c r="G159" i="15"/>
  <c r="I159" i="15" s="1"/>
  <c r="G160" i="15"/>
  <c r="I160" i="15" s="1"/>
  <c r="G148" i="15"/>
  <c r="I148" i="15" s="1"/>
  <c r="G147" i="15"/>
  <c r="I147" i="15" s="1"/>
  <c r="G132" i="15"/>
  <c r="I132" i="15" s="1"/>
  <c r="G136" i="15"/>
  <c r="I136" i="15" s="1"/>
  <c r="G131" i="15"/>
  <c r="I131" i="15" s="1"/>
  <c r="G130" i="15"/>
  <c r="I130" i="15" s="1"/>
  <c r="G129" i="15"/>
  <c r="I129" i="15" s="1"/>
  <c r="G128" i="15"/>
  <c r="I128" i="15" s="1"/>
  <c r="G124" i="15"/>
  <c r="I124" i="15" s="1"/>
  <c r="G123" i="15"/>
  <c r="I123" i="15" s="1"/>
  <c r="G122" i="15"/>
  <c r="I122" i="15" s="1"/>
  <c r="G121" i="15"/>
  <c r="I121" i="15" s="1"/>
  <c r="G120" i="15"/>
  <c r="I120" i="15" s="1"/>
  <c r="G119" i="15"/>
  <c r="I119" i="15" s="1"/>
  <c r="G118" i="15"/>
  <c r="I118" i="15" s="1"/>
  <c r="G117" i="15"/>
  <c r="I117" i="15" s="1"/>
  <c r="G116" i="15"/>
  <c r="I116" i="15" s="1"/>
  <c r="G115" i="15"/>
  <c r="I115" i="15" s="1"/>
  <c r="G114" i="15"/>
  <c r="I114" i="15" s="1"/>
  <c r="G112" i="15"/>
  <c r="I112" i="15" s="1"/>
  <c r="G111" i="15"/>
  <c r="I111" i="15" s="1"/>
  <c r="G110" i="15"/>
  <c r="I110" i="15" s="1"/>
  <c r="G109" i="15"/>
  <c r="I109" i="15" s="1"/>
  <c r="G107" i="15"/>
  <c r="I107" i="15" s="1"/>
  <c r="G105" i="15"/>
  <c r="G104" i="15"/>
  <c r="I104" i="15" s="1"/>
  <c r="G101" i="15"/>
  <c r="I101" i="15" s="1"/>
  <c r="G100" i="15"/>
  <c r="I100" i="15" s="1"/>
  <c r="G99" i="15"/>
  <c r="I99" i="15" s="1"/>
  <c r="G97" i="15"/>
  <c r="I97" i="15" s="1"/>
  <c r="G96" i="15"/>
  <c r="I96" i="15" s="1"/>
  <c r="G93" i="15"/>
  <c r="I93" i="15" s="1"/>
  <c r="G90" i="15"/>
  <c r="I90" i="15" s="1"/>
  <c r="G87" i="15"/>
  <c r="I87" i="15" s="1"/>
  <c r="G142" i="15"/>
  <c r="I142" i="15" s="1"/>
  <c r="G141" i="15"/>
  <c r="I141" i="15" s="1"/>
  <c r="G140" i="15"/>
  <c r="I140" i="15" s="1"/>
  <c r="G139" i="15"/>
  <c r="I139" i="15" s="1"/>
  <c r="G138" i="15"/>
  <c r="I138" i="15" s="1"/>
  <c r="G137" i="15"/>
  <c r="I137" i="15" s="1"/>
  <c r="G135" i="15"/>
  <c r="I135" i="15" s="1"/>
  <c r="G134" i="15"/>
  <c r="I134" i="15" s="1"/>
  <c r="G133" i="15"/>
  <c r="I133" i="15" s="1"/>
  <c r="G127" i="15"/>
  <c r="I127" i="15" s="1"/>
  <c r="G126" i="15"/>
  <c r="I126" i="15" s="1"/>
  <c r="G125" i="15"/>
  <c r="I125" i="15" s="1"/>
  <c r="G113" i="15"/>
  <c r="I113" i="15" s="1"/>
  <c r="G108" i="15"/>
  <c r="I108" i="15" s="1"/>
  <c r="G106" i="15"/>
  <c r="I106" i="15" s="1"/>
  <c r="I105" i="15"/>
  <c r="G103" i="15"/>
  <c r="I103" i="15" s="1"/>
  <c r="G102" i="15"/>
  <c r="I102" i="15" s="1"/>
  <c r="G98" i="15"/>
  <c r="I98" i="15" s="1"/>
  <c r="G95" i="15"/>
  <c r="I95" i="15" s="1"/>
  <c r="G94" i="15"/>
  <c r="I94" i="15" s="1"/>
  <c r="G92" i="15"/>
  <c r="I92" i="15" s="1"/>
  <c r="G91" i="15"/>
  <c r="I91" i="15" s="1"/>
  <c r="G89" i="15"/>
  <c r="I89" i="15" s="1"/>
  <c r="G88" i="15"/>
  <c r="I88" i="15" s="1"/>
  <c r="G65" i="15"/>
  <c r="I65" i="15" s="1"/>
  <c r="G63" i="15"/>
  <c r="I63" i="15" s="1"/>
  <c r="G60" i="15"/>
  <c r="I60" i="15" s="1"/>
  <c r="G59" i="15"/>
  <c r="I59" i="15" s="1"/>
  <c r="G58" i="15"/>
  <c r="I58" i="15" s="1"/>
  <c r="G55" i="15"/>
  <c r="I55" i="15" s="1"/>
  <c r="G54" i="15"/>
  <c r="I54" i="15" s="1"/>
  <c r="G51" i="15"/>
  <c r="I51" i="15" s="1"/>
  <c r="G50" i="15"/>
  <c r="I50" i="15" s="1"/>
  <c r="G49" i="15"/>
  <c r="I49" i="15" s="1"/>
  <c r="G48" i="15"/>
  <c r="I48" i="15" s="1"/>
  <c r="G47" i="15"/>
  <c r="I47" i="15" s="1"/>
  <c r="G46" i="15"/>
  <c r="I46" i="15" s="1"/>
  <c r="G45" i="15"/>
  <c r="I45" i="15" s="1"/>
  <c r="G26" i="15"/>
  <c r="I26" i="15" s="1"/>
  <c r="G27" i="15"/>
  <c r="I27" i="15" s="1"/>
  <c r="G28" i="15"/>
  <c r="I28" i="15" s="1"/>
  <c r="G29" i="15"/>
  <c r="I29" i="15" s="1"/>
  <c r="G30" i="15"/>
  <c r="I30" i="15" s="1"/>
  <c r="G31" i="15"/>
  <c r="I31" i="15" s="1"/>
  <c r="G32" i="15"/>
  <c r="I32" i="15" s="1"/>
  <c r="G33" i="15"/>
  <c r="I33" i="15" s="1"/>
  <c r="G34" i="15"/>
  <c r="I34" i="15" s="1"/>
  <c r="G35" i="15"/>
  <c r="I35" i="15" s="1"/>
  <c r="G36" i="15"/>
  <c r="I36" i="15" s="1"/>
  <c r="G37" i="15"/>
  <c r="I37" i="15" s="1"/>
  <c r="G38" i="15"/>
  <c r="I38" i="15" s="1"/>
  <c r="G39" i="15"/>
  <c r="I39" i="15" s="1"/>
  <c r="G40" i="15"/>
  <c r="I40" i="15" s="1"/>
  <c r="G41" i="15"/>
  <c r="I41" i="15" s="1"/>
  <c r="G42" i="15"/>
  <c r="I42" i="15" s="1"/>
  <c r="G43" i="15"/>
  <c r="I43" i="15" s="1"/>
  <c r="G44" i="15"/>
  <c r="I44" i="15" s="1"/>
  <c r="G52" i="15"/>
  <c r="I52" i="15" s="1"/>
  <c r="G53" i="15"/>
  <c r="I53" i="15" s="1"/>
  <c r="G56" i="15"/>
  <c r="I56" i="15" s="1"/>
  <c r="G57" i="15"/>
  <c r="I57" i="15" s="1"/>
  <c r="G61" i="15"/>
  <c r="I61" i="15" s="1"/>
  <c r="G62" i="15"/>
  <c r="I62" i="15" s="1"/>
  <c r="G64" i="15"/>
  <c r="I64" i="15" s="1"/>
  <c r="G66" i="15"/>
  <c r="I66" i="15" s="1"/>
  <c r="G67" i="15"/>
  <c r="I67" i="15" s="1"/>
  <c r="G68" i="15"/>
  <c r="I68" i="15" s="1"/>
  <c r="G69" i="15"/>
  <c r="I69" i="15" s="1"/>
  <c r="G70" i="15"/>
  <c r="I70" i="15" s="1"/>
  <c r="G71" i="15"/>
  <c r="I71" i="15" s="1"/>
  <c r="G72" i="15"/>
  <c r="I72" i="15" s="1"/>
  <c r="G73" i="15"/>
  <c r="I73" i="15" s="1"/>
  <c r="G74" i="15"/>
  <c r="I74" i="15" s="1"/>
  <c r="G75" i="15"/>
  <c r="I75" i="15" s="1"/>
  <c r="G76" i="15"/>
  <c r="I76" i="15" s="1"/>
  <c r="G77" i="15"/>
  <c r="I77" i="15" s="1"/>
  <c r="G78" i="15"/>
  <c r="I78" i="15" s="1"/>
  <c r="I79" i="15"/>
  <c r="G80" i="15"/>
  <c r="I80" i="15" s="1"/>
  <c r="G81" i="15"/>
  <c r="I81" i="15" s="1"/>
  <c r="G25" i="15"/>
  <c r="I25" i="15" s="1"/>
  <c r="I19" i="15"/>
  <c r="I17" i="15"/>
  <c r="G15" i="15"/>
  <c r="I15" i="15" s="1"/>
  <c r="G18" i="15"/>
  <c r="I18" i="15" s="1"/>
  <c r="G16" i="15"/>
  <c r="I16" i="15" s="1"/>
  <c r="C6" i="15"/>
  <c r="G20" i="16" l="1"/>
  <c r="I143" i="15"/>
  <c r="G20" i="15"/>
  <c r="I20" i="15" s="1"/>
  <c r="I21" i="15" l="1"/>
  <c r="U14" i="7" l="1"/>
  <c r="U13" i="7"/>
  <c r="U12" i="7"/>
  <c r="U11" i="7"/>
  <c r="P16" i="6"/>
  <c r="H14" i="5" l="1"/>
  <c r="E28" i="7" l="1"/>
  <c r="C6" i="1"/>
  <c r="C5" i="6"/>
  <c r="P54" i="1" l="1"/>
  <c r="F148" i="7"/>
  <c r="I10" i="6"/>
  <c r="K10" i="6" s="1"/>
  <c r="L10" i="6" s="1"/>
  <c r="N10" i="6" s="1"/>
  <c r="P10" i="6" s="1"/>
  <c r="I4" i="5"/>
  <c r="M27" i="7"/>
  <c r="E109" i="7"/>
  <c r="G118" i="7" s="1"/>
  <c r="U15" i="7"/>
  <c r="T14" i="7"/>
  <c r="R15" i="7"/>
  <c r="F7" i="14"/>
  <c r="V15" i="7" l="1"/>
  <c r="E15" i="7" s="1"/>
  <c r="G136" i="7" s="1"/>
  <c r="F8" i="14"/>
  <c r="F11" i="14"/>
  <c r="F10" i="14"/>
  <c r="F9" i="14"/>
  <c r="F12" i="14"/>
  <c r="F6" i="14"/>
  <c r="F5" i="14"/>
  <c r="F4" i="14"/>
  <c r="H6" i="5"/>
  <c r="I137" i="6"/>
  <c r="I77" i="6"/>
  <c r="F23" i="1"/>
  <c r="C6" i="13"/>
  <c r="C135" i="7"/>
  <c r="C131" i="7"/>
  <c r="C119" i="7"/>
  <c r="C108" i="7"/>
  <c r="C23" i="7"/>
  <c r="I21" i="6"/>
  <c r="K21" i="6" s="1"/>
  <c r="N21" i="6"/>
  <c r="I22" i="6"/>
  <c r="K22" i="6" s="1"/>
  <c r="N22" i="6"/>
  <c r="I23" i="6"/>
  <c r="K23" i="6" s="1"/>
  <c r="N23" i="6"/>
  <c r="I24" i="6"/>
  <c r="K24" i="6" s="1"/>
  <c r="N24" i="6"/>
  <c r="I25" i="6"/>
  <c r="K25" i="6" s="1"/>
  <c r="N25" i="6"/>
  <c r="I26" i="6"/>
  <c r="K26" i="6" s="1"/>
  <c r="N26" i="6"/>
  <c r="I27" i="6"/>
  <c r="K27" i="6" s="1"/>
  <c r="N27" i="6"/>
  <c r="I28" i="6"/>
  <c r="K28" i="6" s="1"/>
  <c r="N28" i="6"/>
  <c r="I29" i="6"/>
  <c r="K29" i="6" s="1"/>
  <c r="N29" i="6"/>
  <c r="I30" i="6"/>
  <c r="K30" i="6" s="1"/>
  <c r="I31" i="6"/>
  <c r="K31" i="6"/>
  <c r="N31" i="6"/>
  <c r="I32" i="6"/>
  <c r="K32" i="6" s="1"/>
  <c r="N32" i="6"/>
  <c r="I33" i="6"/>
  <c r="K33" i="6" s="1"/>
  <c r="N33" i="6"/>
  <c r="I34" i="6"/>
  <c r="K34" i="6" s="1"/>
  <c r="N34" i="6"/>
  <c r="I35" i="6"/>
  <c r="K35" i="6" s="1"/>
  <c r="I36" i="6"/>
  <c r="K36" i="6" s="1"/>
  <c r="I37" i="6"/>
  <c r="K37" i="6" s="1"/>
  <c r="I38" i="6"/>
  <c r="K38" i="6" s="1"/>
  <c r="N38" i="6"/>
  <c r="I39" i="6"/>
  <c r="K39" i="6" s="1"/>
  <c r="N39" i="6"/>
  <c r="I40" i="6"/>
  <c r="K40" i="6" s="1"/>
  <c r="I41" i="6"/>
  <c r="K41" i="6" s="1"/>
  <c r="N41" i="6"/>
  <c r="I42" i="6"/>
  <c r="K42" i="6" s="1"/>
  <c r="N42" i="6"/>
  <c r="I43" i="6"/>
  <c r="K43" i="6"/>
  <c r="N43" i="6"/>
  <c r="I44" i="6"/>
  <c r="K44" i="6"/>
  <c r="N44" i="6"/>
  <c r="I45" i="6"/>
  <c r="K45" i="6" s="1"/>
  <c r="N45" i="6"/>
  <c r="I46" i="6"/>
  <c r="K46" i="6" s="1"/>
  <c r="N46" i="6"/>
  <c r="I47" i="6"/>
  <c r="K47" i="6" s="1"/>
  <c r="N47" i="6"/>
  <c r="I48" i="6"/>
  <c r="K48" i="6"/>
  <c r="I49" i="6"/>
  <c r="K49" i="6" s="1"/>
  <c r="I50" i="6"/>
  <c r="K50" i="6" s="1"/>
  <c r="N50" i="6"/>
  <c r="I51" i="6"/>
  <c r="K51" i="6" s="1"/>
  <c r="N51" i="6"/>
  <c r="I52" i="6"/>
  <c r="K52" i="6" s="1"/>
  <c r="I53" i="6"/>
  <c r="K53" i="6" s="1"/>
  <c r="I54" i="6"/>
  <c r="K54" i="6" s="1"/>
  <c r="N54" i="6"/>
  <c r="I55" i="6"/>
  <c r="K55" i="6"/>
  <c r="N55" i="6"/>
  <c r="I56" i="6"/>
  <c r="K56" i="6" s="1"/>
  <c r="N56" i="6"/>
  <c r="I57" i="6"/>
  <c r="K57" i="6" s="1"/>
  <c r="N57" i="6"/>
  <c r="I58" i="6"/>
  <c r="K58" i="6"/>
  <c r="I59" i="6"/>
  <c r="K59" i="6" s="1"/>
  <c r="N59" i="6"/>
  <c r="I60" i="6"/>
  <c r="K60" i="6" s="1"/>
  <c r="I61" i="6"/>
  <c r="K61" i="6" s="1"/>
  <c r="N61" i="6"/>
  <c r="I62" i="6"/>
  <c r="K62" i="6" s="1"/>
  <c r="I63" i="6"/>
  <c r="K63" i="6" s="1"/>
  <c r="I64" i="6"/>
  <c r="K64" i="6" s="1"/>
  <c r="I65" i="6"/>
  <c r="K65" i="6"/>
  <c r="I66" i="6"/>
  <c r="K66" i="6" s="1"/>
  <c r="I67" i="6"/>
  <c r="K67" i="6" s="1"/>
  <c r="I68" i="6"/>
  <c r="K68" i="6" s="1"/>
  <c r="I69" i="6"/>
  <c r="K69" i="6" s="1"/>
  <c r="I70" i="6"/>
  <c r="K70" i="6" s="1"/>
  <c r="I71" i="6"/>
  <c r="K71" i="6"/>
  <c r="I72" i="6"/>
  <c r="K72" i="6" s="1"/>
  <c r="I73" i="6"/>
  <c r="K73" i="6" s="1"/>
  <c r="I74" i="6"/>
  <c r="K74" i="6" s="1"/>
  <c r="I75" i="6"/>
  <c r="K75" i="6" s="1"/>
  <c r="I76" i="6"/>
  <c r="K76" i="6" s="1"/>
  <c r="I83" i="6"/>
  <c r="K83" i="6" s="1"/>
  <c r="N83" i="6"/>
  <c r="I84" i="6"/>
  <c r="K84" i="6" s="1"/>
  <c r="I85" i="6"/>
  <c r="K85" i="6" s="1"/>
  <c r="I86" i="6"/>
  <c r="K86" i="6"/>
  <c r="N86" i="6"/>
  <c r="I87" i="6"/>
  <c r="K87" i="6"/>
  <c r="I88" i="6"/>
  <c r="K88" i="6" s="1"/>
  <c r="I89" i="6"/>
  <c r="K89" i="6" s="1"/>
  <c r="N89" i="6"/>
  <c r="I90" i="6"/>
  <c r="K90" i="6" s="1"/>
  <c r="I91" i="6"/>
  <c r="K91" i="6" s="1"/>
  <c r="I92" i="6"/>
  <c r="K92" i="6"/>
  <c r="N92" i="6"/>
  <c r="I93" i="6"/>
  <c r="K93" i="6" s="1"/>
  <c r="N93" i="6"/>
  <c r="I94" i="6"/>
  <c r="K94" i="6" s="1"/>
  <c r="I95" i="6"/>
  <c r="K95" i="6" s="1"/>
  <c r="N95" i="6"/>
  <c r="I96" i="6"/>
  <c r="K96" i="6" s="1"/>
  <c r="N96" i="6"/>
  <c r="I97" i="6"/>
  <c r="K97" i="6" s="1"/>
  <c r="N97" i="6"/>
  <c r="I98" i="6"/>
  <c r="K98" i="6" s="1"/>
  <c r="I99" i="6"/>
  <c r="K99" i="6" s="1"/>
  <c r="I100" i="6"/>
  <c r="K100" i="6" s="1"/>
  <c r="N100" i="6"/>
  <c r="I101" i="6"/>
  <c r="K101" i="6" s="1"/>
  <c r="N101" i="6"/>
  <c r="I102" i="6"/>
  <c r="K102" i="6" s="1"/>
  <c r="I103" i="6"/>
  <c r="K103" i="6" s="1"/>
  <c r="I104" i="6"/>
  <c r="K104" i="6" s="1"/>
  <c r="N104" i="6"/>
  <c r="I105" i="6"/>
  <c r="K105" i="6"/>
  <c r="I106" i="6"/>
  <c r="K106" i="6" s="1"/>
  <c r="I107" i="6"/>
  <c r="K107" i="6" s="1"/>
  <c r="I108" i="6"/>
  <c r="K108" i="6" s="1"/>
  <c r="L108" i="6" s="1"/>
  <c r="N108" i="6" s="1"/>
  <c r="I109" i="6"/>
  <c r="K109" i="6" s="1"/>
  <c r="N109" i="6"/>
  <c r="I110" i="6"/>
  <c r="K110" i="6" s="1"/>
  <c r="N110" i="6"/>
  <c r="I111" i="6"/>
  <c r="K111" i="6" s="1"/>
  <c r="N111" i="6"/>
  <c r="I112" i="6"/>
  <c r="K112" i="6" s="1"/>
  <c r="N112" i="6"/>
  <c r="I113" i="6"/>
  <c r="K113" i="6" s="1"/>
  <c r="N113" i="6"/>
  <c r="I114" i="6"/>
  <c r="K114" i="6" s="1"/>
  <c r="N114" i="6"/>
  <c r="I115" i="6"/>
  <c r="K115" i="6" s="1"/>
  <c r="N115" i="6"/>
  <c r="I116" i="6"/>
  <c r="K116" i="6" s="1"/>
  <c r="N116" i="6"/>
  <c r="I117" i="6"/>
  <c r="K117" i="6" s="1"/>
  <c r="N117" i="6"/>
  <c r="I118" i="6"/>
  <c r="K118" i="6" s="1"/>
  <c r="L118" i="6" s="1"/>
  <c r="N118" i="6" s="1"/>
  <c r="I119" i="6"/>
  <c r="K119" i="6" s="1"/>
  <c r="I120" i="6"/>
  <c r="K120" i="6" s="1"/>
  <c r="N120" i="6"/>
  <c r="I121" i="6"/>
  <c r="K121" i="6"/>
  <c r="N121" i="6"/>
  <c r="I122" i="6"/>
  <c r="K122" i="6" s="1"/>
  <c r="I123" i="6"/>
  <c r="K123" i="6" s="1"/>
  <c r="N123" i="6"/>
  <c r="I124" i="6"/>
  <c r="K124" i="6" s="1"/>
  <c r="N124" i="6"/>
  <c r="I125" i="6"/>
  <c r="K125" i="6" s="1"/>
  <c r="N125" i="6"/>
  <c r="I126" i="6"/>
  <c r="K126" i="6" s="1"/>
  <c r="N126" i="6"/>
  <c r="I127" i="6"/>
  <c r="K127" i="6" s="1"/>
  <c r="N127" i="6"/>
  <c r="I128" i="6"/>
  <c r="K128" i="6" s="1"/>
  <c r="N128" i="6"/>
  <c r="I129" i="6"/>
  <c r="K129" i="6"/>
  <c r="I130" i="6"/>
  <c r="K130" i="6" s="1"/>
  <c r="I131" i="6"/>
  <c r="K131" i="6" s="1"/>
  <c r="N131" i="6"/>
  <c r="I132" i="6"/>
  <c r="K132" i="6" s="1"/>
  <c r="N132" i="6"/>
  <c r="I133" i="6"/>
  <c r="K133" i="6" s="1"/>
  <c r="I134" i="6"/>
  <c r="K134" i="6"/>
  <c r="I135" i="6"/>
  <c r="K135" i="6" s="1"/>
  <c r="I136" i="6"/>
  <c r="K136" i="6" s="1"/>
  <c r="I138" i="6"/>
  <c r="K138" i="6" s="1"/>
  <c r="L138" i="6" s="1"/>
  <c r="N138" i="6" s="1"/>
  <c r="C5" i="7"/>
  <c r="I5" i="5"/>
  <c r="J5" i="5" s="1"/>
  <c r="O31" i="1"/>
  <c r="O23" i="1" s="1"/>
  <c r="N31" i="1"/>
  <c r="N23" i="1" s="1"/>
  <c r="O19" i="1"/>
  <c r="N19" i="1"/>
  <c r="O15" i="1"/>
  <c r="O20" i="1" s="1"/>
  <c r="N15" i="1"/>
  <c r="N18" i="1" s="1"/>
  <c r="N20" i="1"/>
  <c r="N16" i="1"/>
  <c r="N17" i="1"/>
  <c r="O16" i="1"/>
  <c r="O17" i="1"/>
  <c r="F31" i="1"/>
  <c r="G23" i="1"/>
  <c r="J4" i="5"/>
  <c r="I15" i="6"/>
  <c r="K15" i="6"/>
  <c r="M31" i="1"/>
  <c r="L31" i="1"/>
  <c r="L23" i="1"/>
  <c r="M15" i="1"/>
  <c r="M20" i="1" s="1"/>
  <c r="M22" i="1" s="1"/>
  <c r="M19" i="1" s="1"/>
  <c r="L15" i="1"/>
  <c r="L20" i="1" s="1"/>
  <c r="L22" i="1" s="1"/>
  <c r="L19" i="1" s="1"/>
  <c r="I14" i="6"/>
  <c r="K14" i="6" s="1"/>
  <c r="I147" i="6"/>
  <c r="K147" i="6" s="1"/>
  <c r="I148" i="6"/>
  <c r="K148" i="6" s="1"/>
  <c r="I149" i="6"/>
  <c r="K149" i="6" s="1"/>
  <c r="I150" i="6"/>
  <c r="K150" i="6" s="1"/>
  <c r="I151" i="6"/>
  <c r="K151" i="6" s="1"/>
  <c r="I152" i="6"/>
  <c r="K152" i="6" s="1"/>
  <c r="I153" i="6"/>
  <c r="K153" i="6" s="1"/>
  <c r="I154" i="6"/>
  <c r="K154" i="6" s="1"/>
  <c r="L154" i="6" s="1"/>
  <c r="N154" i="6" s="1"/>
  <c r="I155" i="6"/>
  <c r="K155" i="6" s="1"/>
  <c r="L155" i="6" s="1"/>
  <c r="N155" i="6" s="1"/>
  <c r="I156" i="6"/>
  <c r="I157" i="6"/>
  <c r="K157" i="6" s="1"/>
  <c r="L14" i="1"/>
  <c r="M14" i="1"/>
  <c r="M23" i="1"/>
  <c r="F149" i="7"/>
  <c r="F142" i="7"/>
  <c r="B149" i="7"/>
  <c r="B148" i="7"/>
  <c r="I146" i="6"/>
  <c r="K146" i="6" s="1"/>
  <c r="I145" i="6"/>
  <c r="K145" i="6" s="1"/>
  <c r="I144" i="6"/>
  <c r="K144" i="6" s="1"/>
  <c r="I13" i="6"/>
  <c r="K13" i="6" s="1"/>
  <c r="I12" i="6"/>
  <c r="I11" i="6"/>
  <c r="P55" i="1"/>
  <c r="K31" i="1"/>
  <c r="J31" i="1"/>
  <c r="I31" i="1"/>
  <c r="H31" i="1"/>
  <c r="G31" i="1"/>
  <c r="K15" i="1"/>
  <c r="K14" i="1" s="1"/>
  <c r="J15" i="1"/>
  <c r="J14" i="1" s="1"/>
  <c r="I15" i="1"/>
  <c r="I14" i="1" s="1"/>
  <c r="H15" i="1"/>
  <c r="H14" i="1" s="1"/>
  <c r="G15" i="1"/>
  <c r="G20" i="1" s="1"/>
  <c r="G22" i="1" s="1"/>
  <c r="G19" i="1" s="1"/>
  <c r="F20" i="1"/>
  <c r="K20" i="1"/>
  <c r="K22" i="1"/>
  <c r="K19" i="1" s="1"/>
  <c r="K11" i="6"/>
  <c r="L11" i="6"/>
  <c r="N11" i="6" s="1"/>
  <c r="N145" i="6"/>
  <c r="K12" i="6"/>
  <c r="L12" i="6" s="1"/>
  <c r="I23" i="1"/>
  <c r="P48" i="1"/>
  <c r="B54" i="1"/>
  <c r="B48" i="1"/>
  <c r="F14" i="1"/>
  <c r="I6" i="5" l="1"/>
  <c r="T13" i="7" s="1"/>
  <c r="T16" i="7" s="1"/>
  <c r="J6" i="5"/>
  <c r="L134" i="6"/>
  <c r="N134" i="6" s="1"/>
  <c r="L15" i="6"/>
  <c r="N15" i="6" s="1"/>
  <c r="I16" i="6"/>
  <c r="K16" i="6"/>
  <c r="L13" i="6"/>
  <c r="N13" i="6" s="1"/>
  <c r="L14" i="6"/>
  <c r="N14" i="6" s="1"/>
  <c r="G137" i="7"/>
  <c r="H136" i="7"/>
  <c r="H137" i="7" s="1"/>
  <c r="N14" i="1"/>
  <c r="N36" i="1" s="1"/>
  <c r="N37" i="1" s="1"/>
  <c r="N64" i="1" s="1"/>
  <c r="G14" i="1"/>
  <c r="O18" i="1"/>
  <c r="J20" i="1"/>
  <c r="J22" i="1" s="1"/>
  <c r="J19" i="1" s="1"/>
  <c r="I20" i="1"/>
  <c r="I22" i="1" s="1"/>
  <c r="I19" i="1" s="1"/>
  <c r="G36" i="1"/>
  <c r="G37" i="1" s="1"/>
  <c r="G64" i="1" s="1"/>
  <c r="M36" i="1"/>
  <c r="M37" i="1" s="1"/>
  <c r="M64" i="1" s="1"/>
  <c r="O14" i="1"/>
  <c r="O36" i="1" s="1"/>
  <c r="O37" i="1" s="1"/>
  <c r="H23" i="1"/>
  <c r="K23" i="1"/>
  <c r="K36" i="1" s="1"/>
  <c r="J23" i="1"/>
  <c r="L36" i="1"/>
  <c r="I36" i="1"/>
  <c r="F22" i="1"/>
  <c r="F19" i="1" s="1"/>
  <c r="F36" i="1" s="1"/>
  <c r="H20" i="1"/>
  <c r="H22" i="1" s="1"/>
  <c r="H19" i="1" s="1"/>
  <c r="I158" i="6"/>
  <c r="L107" i="6"/>
  <c r="N107" i="6" s="1"/>
  <c r="I139" i="6"/>
  <c r="L84" i="6"/>
  <c r="N84" i="6" s="1"/>
  <c r="L88" i="6"/>
  <c r="N88" i="6" s="1"/>
  <c r="L157" i="6"/>
  <c r="N157" i="6" s="1"/>
  <c r="K156" i="6"/>
  <c r="L156" i="6" s="1"/>
  <c r="N156" i="6" s="1"/>
  <c r="I78" i="6"/>
  <c r="L119" i="6"/>
  <c r="N119" i="6" s="1"/>
  <c r="K78" i="6"/>
  <c r="H109" i="7"/>
  <c r="K137" i="6"/>
  <c r="L146" i="6"/>
  <c r="N146" i="6" s="1"/>
  <c r="L153" i="6"/>
  <c r="N153" i="6" s="1"/>
  <c r="L152" i="6"/>
  <c r="N152" i="6" s="1"/>
  <c r="L151" i="6"/>
  <c r="N151" i="6" s="1"/>
  <c r="L150" i="6"/>
  <c r="N150" i="6" s="1"/>
  <c r="L149" i="6"/>
  <c r="N149" i="6" s="1"/>
  <c r="L148" i="6"/>
  <c r="N148" i="6" s="1"/>
  <c r="L147" i="6"/>
  <c r="N147" i="6" s="1"/>
  <c r="L144" i="6"/>
  <c r="L136" i="6"/>
  <c r="N136" i="6" s="1"/>
  <c r="L135" i="6"/>
  <c r="N135" i="6" s="1"/>
  <c r="K77" i="6"/>
  <c r="L77" i="6" s="1"/>
  <c r="N77" i="6" s="1"/>
  <c r="L133" i="6"/>
  <c r="N133" i="6" s="1"/>
  <c r="L130" i="6"/>
  <c r="N130" i="6" s="1"/>
  <c r="L129" i="6"/>
  <c r="N129" i="6" s="1"/>
  <c r="L122" i="6"/>
  <c r="N122" i="6" s="1"/>
  <c r="L106" i="6"/>
  <c r="N106" i="6" s="1"/>
  <c r="L105" i="6"/>
  <c r="N105" i="6" s="1"/>
  <c r="L103" i="6"/>
  <c r="N103" i="6" s="1"/>
  <c r="L102" i="6"/>
  <c r="N102" i="6" s="1"/>
  <c r="L99" i="6"/>
  <c r="N99" i="6" s="1"/>
  <c r="L98" i="6"/>
  <c r="N98" i="6" s="1"/>
  <c r="L94" i="6"/>
  <c r="N94" i="6" s="1"/>
  <c r="L91" i="6"/>
  <c r="N91" i="6" s="1"/>
  <c r="L90" i="6"/>
  <c r="N90" i="6" s="1"/>
  <c r="L87" i="6"/>
  <c r="N87" i="6" s="1"/>
  <c r="L85" i="6"/>
  <c r="L76" i="6"/>
  <c r="N76" i="6" s="1"/>
  <c r="L75" i="6"/>
  <c r="N75" i="6" s="1"/>
  <c r="L74" i="6"/>
  <c r="N74" i="6" s="1"/>
  <c r="L73" i="6"/>
  <c r="N73" i="6" s="1"/>
  <c r="L72" i="6"/>
  <c r="N72" i="6" s="1"/>
  <c r="L71" i="6"/>
  <c r="N71" i="6" s="1"/>
  <c r="L70" i="6"/>
  <c r="N70" i="6" s="1"/>
  <c r="L69" i="6"/>
  <c r="N69" i="6" s="1"/>
  <c r="L37" i="6"/>
  <c r="N37" i="6" s="1"/>
  <c r="L68" i="6"/>
  <c r="N68" i="6" s="1"/>
  <c r="L67" i="6"/>
  <c r="N67" i="6" s="1"/>
  <c r="L66" i="6"/>
  <c r="N66" i="6" s="1"/>
  <c r="L65" i="6"/>
  <c r="N65" i="6" s="1"/>
  <c r="L64" i="6"/>
  <c r="N64" i="6" s="1"/>
  <c r="L63" i="6"/>
  <c r="N63" i="6" s="1"/>
  <c r="L62" i="6"/>
  <c r="N62" i="6" s="1"/>
  <c r="L60" i="6"/>
  <c r="N60" i="6" s="1"/>
  <c r="L58" i="6"/>
  <c r="N58" i="6" s="1"/>
  <c r="L53" i="6"/>
  <c r="N53" i="6" s="1"/>
  <c r="L52" i="6"/>
  <c r="N52" i="6" s="1"/>
  <c r="L49" i="6"/>
  <c r="N49" i="6" s="1"/>
  <c r="L40" i="6"/>
  <c r="N40" i="6" s="1"/>
  <c r="L36" i="6"/>
  <c r="N36" i="6" s="1"/>
  <c r="L35" i="6"/>
  <c r="N35" i="6" s="1"/>
  <c r="L30" i="6"/>
  <c r="N30" i="6" s="1"/>
  <c r="L48" i="6"/>
  <c r="O38" i="1" l="1"/>
  <c r="O39" i="1" s="1"/>
  <c r="O42" i="1" s="1"/>
  <c r="O64" i="1"/>
  <c r="N16" i="6"/>
  <c r="L16" i="6"/>
  <c r="H110" i="7"/>
  <c r="K37" i="1"/>
  <c r="H36" i="1"/>
  <c r="H37" i="1" s="1"/>
  <c r="H64" i="1" s="1"/>
  <c r="J36" i="1"/>
  <c r="J37" i="1" s="1"/>
  <c r="G38" i="1"/>
  <c r="G39" i="1" s="1"/>
  <c r="G42" i="1" s="1"/>
  <c r="M38" i="1"/>
  <c r="M39" i="1" s="1"/>
  <c r="M42" i="1" s="1"/>
  <c r="N38" i="1"/>
  <c r="N39" i="1" s="1"/>
  <c r="N42" i="1" s="1"/>
  <c r="R14" i="7" s="1"/>
  <c r="I37" i="1"/>
  <c r="I64" i="1" s="1"/>
  <c r="L37" i="1"/>
  <c r="L64" i="1" s="1"/>
  <c r="F37" i="1"/>
  <c r="F64" i="1" s="1"/>
  <c r="K158" i="6"/>
  <c r="K139" i="6"/>
  <c r="L137" i="6"/>
  <c r="N137" i="6" s="1"/>
  <c r="N144" i="6"/>
  <c r="N158" i="6" s="1"/>
  <c r="L158" i="6"/>
  <c r="N85" i="6"/>
  <c r="N139" i="6" s="1"/>
  <c r="L139" i="6"/>
  <c r="N48" i="6"/>
  <c r="N78" i="6" s="1"/>
  <c r="L78" i="6"/>
  <c r="K38" i="1" l="1"/>
  <c r="K39" i="1" s="1"/>
  <c r="K42" i="1" s="1"/>
  <c r="K64" i="1"/>
  <c r="J38" i="1"/>
  <c r="J39" i="1" s="1"/>
  <c r="J42" i="1" s="1"/>
  <c r="J64" i="1"/>
  <c r="P64" i="1" s="1"/>
  <c r="I38" i="1"/>
  <c r="I39" i="1" s="1"/>
  <c r="I42" i="1" s="1"/>
  <c r="R13" i="7"/>
  <c r="O16" i="6"/>
  <c r="V14" i="7"/>
  <c r="E14" i="7" s="1"/>
  <c r="G132" i="7" s="1"/>
  <c r="H111" i="7"/>
  <c r="H38" i="1"/>
  <c r="H39" i="1" s="1"/>
  <c r="H42" i="1" s="1"/>
  <c r="R12" i="7" s="1"/>
  <c r="F38" i="1"/>
  <c r="F39" i="1" s="1"/>
  <c r="F42" i="1" s="1"/>
  <c r="L38" i="1"/>
  <c r="L39" i="1" s="1"/>
  <c r="L42" i="1" s="1"/>
  <c r="S13" i="7" s="1"/>
  <c r="J60" i="1" l="1"/>
  <c r="H13" i="5"/>
  <c r="H17" i="5" s="1"/>
  <c r="V13" i="7"/>
  <c r="E13" i="7" s="1"/>
  <c r="H132" i="7"/>
  <c r="H134" i="7" s="1"/>
  <c r="G134" i="7"/>
  <c r="H112" i="7"/>
  <c r="S12" i="7"/>
  <c r="V12" i="7" s="1"/>
  <c r="R11" i="7"/>
  <c r="P42" i="1"/>
  <c r="U16" i="7"/>
  <c r="R16" i="7" l="1"/>
  <c r="K4" i="7"/>
  <c r="H12" i="5"/>
  <c r="H18" i="5" s="1"/>
  <c r="G130" i="7"/>
  <c r="K13" i="7"/>
  <c r="V16" i="7"/>
  <c r="H113" i="7"/>
  <c r="H120" i="7" l="1"/>
  <c r="H130" i="7" s="1"/>
  <c r="H114" i="7"/>
  <c r="E16" i="7" l="1"/>
  <c r="E17" i="7" s="1"/>
  <c r="E18" i="7" s="1"/>
  <c r="E19" i="7" s="1"/>
  <c r="M22" i="7" s="1"/>
  <c r="N22" i="7" s="1"/>
  <c r="O22" i="7" s="1"/>
  <c r="H25" i="7"/>
  <c r="H107" i="7" s="1"/>
  <c r="G107" i="7"/>
  <c r="G138" i="7" s="1"/>
  <c r="H115" i="7"/>
  <c r="H118" i="7" s="1"/>
  <c r="D23" i="3" l="1"/>
  <c r="M26" i="7"/>
  <c r="M28" i="7" s="1"/>
  <c r="N26" i="7" s="1"/>
  <c r="O26" i="7" s="1"/>
  <c r="H117" i="7"/>
  <c r="H116" i="7"/>
  <c r="H138" i="7"/>
</calcChain>
</file>

<file path=xl/sharedStrings.xml><?xml version="1.0" encoding="utf-8"?>
<sst xmlns="http://schemas.openxmlformats.org/spreadsheetml/2006/main" count="1781" uniqueCount="601">
  <si>
    <t xml:space="preserve">No.  </t>
  </si>
  <si>
    <t>:</t>
  </si>
  <si>
    <t>CS/0001/2025</t>
  </si>
  <si>
    <t>Perihal</t>
  </si>
  <si>
    <t>Penawaran Harga Jasa Job Supply Maintenance</t>
  </si>
  <si>
    <t>Lampiran</t>
  </si>
  <si>
    <t>Kepada Yth;</t>
  </si>
  <si>
    <t>PT United Tractors Tbk</t>
  </si>
  <si>
    <t>Jl. Raya Bekasi KM 22</t>
  </si>
  <si>
    <t>Kec. Cakung, Kota Jakarta Timur</t>
  </si>
  <si>
    <t>Daerah Khusus Ibukota Jakarta 13910</t>
  </si>
  <si>
    <t xml:space="preserve">Up </t>
  </si>
  <si>
    <t>Dengan hormat,</t>
  </si>
  <si>
    <t>Sehubungan dengan adanya kebutuhan Penyedia Jasa Tenaga Kerja di perusahaan Bapak/Ibu, bersama ini kami sampaikan penawaran dari PT Mitra Bakti UT sebagai berikut:</t>
  </si>
  <si>
    <r>
      <t xml:space="preserve">-  </t>
    </r>
    <r>
      <rPr>
        <b/>
        <sz val="10"/>
        <color indexed="8"/>
        <rFont val="Trebuchet MS"/>
        <family val="2"/>
      </rPr>
      <t xml:space="preserve">Penyedia Jasa Tenaga Kerja </t>
    </r>
    <r>
      <rPr>
        <b/>
        <i/>
        <sz val="10"/>
        <color indexed="8"/>
        <rFont val="Trebuchet MS"/>
        <family val="2"/>
      </rPr>
      <t>(rincian terlampir)</t>
    </r>
  </si>
  <si>
    <t>Rp</t>
  </si>
  <si>
    <t>Note :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</si>
  <si>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</si>
  <si>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</si>
  <si>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</si>
  <si>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Sandy Yudha S</t>
  </si>
  <si>
    <t>Strategic Business &amp; Sales Division Head</t>
  </si>
  <si>
    <t>Lampiran 1</t>
  </si>
  <si>
    <t xml:space="preserve">No. </t>
  </si>
  <si>
    <t>NAMA</t>
  </si>
  <si>
    <t>: PT MITRA BAKTI UT</t>
  </si>
  <si>
    <t>AREA PELAYANAN</t>
  </si>
  <si>
    <t>: PT UNITED TRACTORS TBK</t>
  </si>
  <si>
    <t>MP</t>
  </si>
  <si>
    <t>VENDOR</t>
  </si>
  <si>
    <t>TOOLS</t>
  </si>
  <si>
    <t>SUB TOTAL</t>
  </si>
  <si>
    <t>MECHANICAL ELECTRICAL</t>
  </si>
  <si>
    <t>MAINTENANCE AC</t>
  </si>
  <si>
    <t>IPAL</t>
  </si>
  <si>
    <t>ME &amp; CIVIL PPI CAKUNG</t>
  </si>
  <si>
    <t>CIVIL REPAIR MAINTENANCE</t>
  </si>
  <si>
    <t>MANAGEMENT FEE 5%</t>
  </si>
  <si>
    <t>GRAND TOTAL</t>
  </si>
  <si>
    <t>PEMBULATAN</t>
  </si>
  <si>
    <t>SCOPE OF JOB</t>
  </si>
  <si>
    <t>HARGA 2024</t>
  </si>
  <si>
    <t>HARGA 2025</t>
  </si>
  <si>
    <t>DEVIASI</t>
  </si>
  <si>
    <t>%</t>
  </si>
  <si>
    <t>No</t>
  </si>
  <si>
    <t>Equipment</t>
  </si>
  <si>
    <t>Item Check</t>
  </si>
  <si>
    <t>Jumlah</t>
  </si>
  <si>
    <t>Satuan</t>
  </si>
  <si>
    <t>Biaya Per Bulan</t>
  </si>
  <si>
    <t>Biaya Per Tahun</t>
  </si>
  <si>
    <t>a</t>
  </si>
  <si>
    <t>Genset</t>
  </si>
  <si>
    <t>Simulasi + Lembur</t>
  </si>
  <si>
    <t>Gedung UT New Building (UTNB)</t>
  </si>
  <si>
    <t>- Daily Check Inspection
- Running Test</t>
  </si>
  <si>
    <t>unit</t>
  </si>
  <si>
    <t>Gedung Employee Center (EC)</t>
  </si>
  <si>
    <t>Gedung ITC</t>
  </si>
  <si>
    <t>Gedung UT HO-B</t>
  </si>
  <si>
    <t>Gedung UT Corpu</t>
  </si>
  <si>
    <t>Gedung KMSI</t>
  </si>
  <si>
    <t>Area Masjid</t>
  </si>
  <si>
    <t>Workshop UTPE (ex UTR)</t>
  </si>
  <si>
    <t>Portable</t>
  </si>
  <si>
    <t>b</t>
  </si>
  <si>
    <t>Hydrant</t>
  </si>
  <si>
    <t>Area Yard Marketing</t>
  </si>
  <si>
    <t>Area UT Jababeka</t>
  </si>
  <si>
    <t>c</t>
  </si>
  <si>
    <t>Pump</t>
  </si>
  <si>
    <t>- Daily Check Inspection
- Monthly Check</t>
  </si>
  <si>
    <t>Gedung UT School</t>
  </si>
  <si>
    <t>d</t>
  </si>
  <si>
    <t>Transformer</t>
  </si>
  <si>
    <t>e</t>
  </si>
  <si>
    <t>Panel Listrik</t>
  </si>
  <si>
    <t>- Daily Check
- Cleaning Panel
- Thermal Imager</t>
  </si>
  <si>
    <t>PPI Cakung (Non UTNB)</t>
  </si>
  <si>
    <t>Area UT Sukapura</t>
  </si>
  <si>
    <t>f</t>
  </si>
  <si>
    <t>Barrier Gate</t>
  </si>
  <si>
    <t xml:space="preserve">Barrier Gate Passenger </t>
  </si>
  <si>
    <t>- Daily Check</t>
  </si>
  <si>
    <t>Barrier Gate Parking</t>
  </si>
  <si>
    <t>g</t>
  </si>
  <si>
    <t>Penyalur Petir</t>
  </si>
  <si>
    <t>- Grounding Test</t>
  </si>
  <si>
    <t>h</t>
  </si>
  <si>
    <t>Automatic Door</t>
  </si>
  <si>
    <t>i</t>
  </si>
  <si>
    <t>Access Door</t>
  </si>
  <si>
    <t>ls</t>
  </si>
  <si>
    <t>j</t>
  </si>
  <si>
    <t>Telecommunication (PABX)</t>
  </si>
  <si>
    <t>PPI Cakung</t>
  </si>
  <si>
    <t>k</t>
  </si>
  <si>
    <t>CCTV</t>
  </si>
  <si>
    <t>- Daily Check
- Preventive 1 Month</t>
  </si>
  <si>
    <t>l</t>
  </si>
  <si>
    <t>Fire Alarm</t>
  </si>
  <si>
    <t>Gedung Parkir</t>
  </si>
  <si>
    <t>Gedung Kanitra</t>
  </si>
  <si>
    <t>Gedung Yayasan</t>
  </si>
  <si>
    <t>m</t>
  </si>
  <si>
    <t>Elevator</t>
  </si>
  <si>
    <t>n</t>
  </si>
  <si>
    <t>Escalator</t>
  </si>
  <si>
    <t>Gedung Ballroom</t>
  </si>
  <si>
    <t>o</t>
  </si>
  <si>
    <t>Angkat - Angkut</t>
  </si>
  <si>
    <t>Gondola Tower</t>
  </si>
  <si>
    <t>- Weekly Check</t>
  </si>
  <si>
    <t>Gondola Wing</t>
  </si>
  <si>
    <t>Over Head Crane</t>
  </si>
  <si>
    <t>p</t>
  </si>
  <si>
    <t>Aerial Platform</t>
  </si>
  <si>
    <t>Houlette</t>
  </si>
  <si>
    <t>- Pre Use Check
- Weekly Check</t>
  </si>
  <si>
    <t>Scissor Lift</t>
  </si>
  <si>
    <t>Boom Lift</t>
  </si>
  <si>
    <t>q</t>
  </si>
  <si>
    <t>Gym Equipment</t>
  </si>
  <si>
    <t>r</t>
  </si>
  <si>
    <t>Monitoring &amp; Reporting</t>
  </si>
  <si>
    <t>Sub Total</t>
  </si>
  <si>
    <t>Gedung Cab Jakarta</t>
  </si>
  <si>
    <t>Jababeka</t>
  </si>
  <si>
    <t>Sukapura</t>
  </si>
  <si>
    <t>KMSI</t>
  </si>
  <si>
    <t>Untuk 10 titik intake :
- Daily Check Inspection
- Preventive Equipment
- Corrective Maintenance Exclude Sparepart
- Pengadaan Chemical</t>
  </si>
  <si>
    <t>UTR Triatra</t>
  </si>
  <si>
    <t>ARKM</t>
  </si>
  <si>
    <t>Washing Unit</t>
  </si>
  <si>
    <t>TPS B3</t>
  </si>
  <si>
    <t>IPAL Baru</t>
  </si>
  <si>
    <t>Pemeriksaan dan perawatan Equipment</t>
  </si>
  <si>
    <t>- Insidental</t>
  </si>
  <si>
    <t>Ls</t>
  </si>
  <si>
    <t>Penyambungan Pipa Patah</t>
  </si>
  <si>
    <t>Insidental Repair Maintenance</t>
  </si>
  <si>
    <t>Grand Total</t>
  </si>
  <si>
    <t>Menyetujui,</t>
  </si>
  <si>
    <t>No.</t>
  </si>
  <si>
    <t>STRUKTUR BIAYA JASA TENAGA KERJA</t>
  </si>
  <si>
    <t>TAHUN 2025</t>
  </si>
  <si>
    <t>AREA DKI JAKARTA</t>
  </si>
  <si>
    <t>NO</t>
  </si>
  <si>
    <t>URAIAN</t>
  </si>
  <si>
    <t>ME &amp; TELECOMMUNICATION</t>
  </si>
  <si>
    <t>AC</t>
  </si>
  <si>
    <t>ALL</t>
  </si>
  <si>
    <t>TIM 10</t>
  </si>
  <si>
    <t>KETERANGAN</t>
  </si>
  <si>
    <t>SUPERVISOR</t>
  </si>
  <si>
    <t>CREW</t>
  </si>
  <si>
    <t>KOORDINATOR</t>
  </si>
  <si>
    <t>ADMIN</t>
  </si>
  <si>
    <t>I</t>
  </si>
  <si>
    <t>FIXED COST</t>
  </si>
  <si>
    <t>Upah</t>
  </si>
  <si>
    <t>Upah Tenaga Kerja (UMK 2025)</t>
  </si>
  <si>
    <t>BPJS</t>
  </si>
  <si>
    <t>Mengikuti Regulasi Pemerintah (JHT, JKK, JK)</t>
  </si>
  <si>
    <t>THR</t>
  </si>
  <si>
    <t>Upah /12</t>
  </si>
  <si>
    <t>Kompensasi Akhir Kontrak (UUCK)</t>
  </si>
  <si>
    <t>II</t>
  </si>
  <si>
    <t>OVERTIME</t>
  </si>
  <si>
    <t>TUL</t>
  </si>
  <si>
    <t>Upah /173</t>
  </si>
  <si>
    <t>Jam Lembur</t>
  </si>
  <si>
    <t>Sesuai Aktual Dilapangan</t>
  </si>
  <si>
    <t>Upah Lembur</t>
  </si>
  <si>
    <t>Ditagihkan Sesuai Aktual Dengan Management Fee 5%</t>
  </si>
  <si>
    <t>III</t>
  </si>
  <si>
    <t>VARIABLE COST</t>
  </si>
  <si>
    <t>Medical Checkup</t>
  </si>
  <si>
    <t>Seragam</t>
  </si>
  <si>
    <t>3 Pasang Per Tahun (Baju, Kaos &amp; Celana)</t>
  </si>
  <si>
    <t>APD</t>
  </si>
  <si>
    <t>Helm &amp; sepatu safety</t>
  </si>
  <si>
    <t>Uang Makan</t>
  </si>
  <si>
    <t>Disediakan oleh User</t>
  </si>
  <si>
    <t>Sertifikasi</t>
  </si>
  <si>
    <t>Training</t>
  </si>
  <si>
    <t>Tunjangan Jabatan</t>
  </si>
  <si>
    <t>Overhead Expenses</t>
  </si>
  <si>
    <t>Biaya Sambung Rasa</t>
  </si>
  <si>
    <t>Biaya Recruitment</t>
  </si>
  <si>
    <t>Biaya Suka Duka</t>
  </si>
  <si>
    <t>Biaya Operational Support</t>
  </si>
  <si>
    <t>TOTAL I + II + III</t>
  </si>
  <si>
    <t>MANAGEMENT FEE</t>
  </si>
  <si>
    <t>JUMLAH MANPOWER</t>
  </si>
  <si>
    <t>TOTAL BIAYA MANPOWER</t>
  </si>
  <si>
    <t>SERTIFIKASI MANPOWER MAINTENANCE</t>
  </si>
  <si>
    <t>Position</t>
  </si>
  <si>
    <t>Scope</t>
  </si>
  <si>
    <t>Jenis Sertifikasi</t>
  </si>
  <si>
    <t>Biaya Sertifikasi</t>
  </si>
  <si>
    <t>Masa
Berlaku</t>
  </si>
  <si>
    <t>Biaya/ Bulan</t>
  </si>
  <si>
    <t>Supervisor</t>
  </si>
  <si>
    <t>ME &amp; Telcom</t>
  </si>
  <si>
    <t>Sertifikasi Ahli K3 Listrik</t>
  </si>
  <si>
    <t>3 Tahun</t>
  </si>
  <si>
    <t>Sertifikasi TKPK 1 (Tenaga Kerja pada Ketinggian Tingkat 1)</t>
  </si>
  <si>
    <t>New</t>
  </si>
  <si>
    <t>Crew</t>
  </si>
  <si>
    <t>Sertifikasi AC/HVAC</t>
  </si>
  <si>
    <t>Sertifikasi Ahli K3 AC/HVAC</t>
  </si>
  <si>
    <t>Sertifikasi terkait keselamatan kerja dan pengelolaan instalasi air limbah.</t>
  </si>
  <si>
    <t>Koordinator</t>
  </si>
  <si>
    <t>Cost Vendor</t>
  </si>
  <si>
    <t>Klasifikasi</t>
  </si>
  <si>
    <t>Activity</t>
  </si>
  <si>
    <t>Vendor</t>
  </si>
  <si>
    <t>Qty</t>
  </si>
  <si>
    <t>Unit Price</t>
  </si>
  <si>
    <t>Amount
(Month)</t>
  </si>
  <si>
    <t>Amount
(Year)</t>
  </si>
  <si>
    <t>Jarwo</t>
  </si>
  <si>
    <t>Unit</t>
  </si>
  <si>
    <t>LAB</t>
  </si>
  <si>
    <t>ADMINSITRATION</t>
  </si>
  <si>
    <t>Section</t>
  </si>
  <si>
    <t>Tools</t>
  </si>
  <si>
    <t>Spec</t>
  </si>
  <si>
    <t>Amount
(Sub Total)</t>
  </si>
  <si>
    <t>Fee</t>
  </si>
  <si>
    <t>Amount
(Total)</t>
  </si>
  <si>
    <t>Depre</t>
  </si>
  <si>
    <t>Amount</t>
  </si>
  <si>
    <t>All</t>
  </si>
  <si>
    <t>Kertas</t>
  </si>
  <si>
    <t>A4</t>
  </si>
  <si>
    <t>Rim</t>
  </si>
  <si>
    <t>Bulpoint</t>
  </si>
  <si>
    <t>Box</t>
  </si>
  <si>
    <t>Printer</t>
  </si>
  <si>
    <t>Epson</t>
  </si>
  <si>
    <t>Set</t>
  </si>
  <si>
    <t>Tinta Printer</t>
  </si>
  <si>
    <t>Laptop</t>
  </si>
  <si>
    <t>Pcs</t>
  </si>
  <si>
    <t>Isi Label Printer</t>
  </si>
  <si>
    <t>TOOLS ME</t>
  </si>
  <si>
    <t>ME</t>
  </si>
  <si>
    <t>Thermal imager</t>
  </si>
  <si>
    <t>Earth Tester</t>
  </si>
  <si>
    <t>Clamp Meter</t>
  </si>
  <si>
    <t>Digital Multimeter</t>
  </si>
  <si>
    <t>https://www.googleadservices.com/pagead/aclk?sa=L&amp;ai=DChcSEwiIvOD_kKuKAxUkq2YCHZMFIV8YABAeGgJzbQ&amp;ae=2&amp;aspm=1&amp;co=1&amp;ase=2&amp;gclid=CjwKCAiAmfq6BhAsEiwAX1jsZ_QGaHB2PW1oPUaT4GGHHDTUeX516XLStuYNajgP-ZfTl1FDddMZJxoC3wcQAvD_BwE&amp;ei=pIFfZ6qROfCw4-EP8qrfUQ&amp;ohost=www.google.com&amp;cid=CAESVuD21p6iXnmqKzspqtIJKe_Cy1xeozHnvbxt6WXSZoRw3JyvQTgr8JzGlA_AxzvdRfxSPLgEHZZoCSS5UISMcZx3wQWQMMFb8LAj_Q-IEgewMt8S1z-k&amp;sig=AOD64_1Gq70GlvtY2XgNxXF1BRuL90wiBQ&amp;ctype=5&amp;q=&amp;nis=4&amp;sqi=2&amp;ved=2ahUKEwiq89v_kKuKAxVw2DgGHXLVNwoQ9aACKAB6BAgHEA4&amp;adurl=</t>
  </si>
  <si>
    <t>Timah Solder</t>
  </si>
  <si>
    <t>https://www.monotaro.id/items/s018041712.html?utm_source=google&amp;utm_medium=pla&amp;utm_campaign=1672206402&amp;utm_content=88187085595&amp;gad_source=1&amp;gclid=CjwKCAiAmfq6BhAsEiwAX1jsZ7Bd67bOftR7PMc9PNUjW3i6a9-ZVro2wd5QFDfWtXLxZCpBWxiTwxoCRQ0QAvD_BwE</t>
  </si>
  <si>
    <t xml:space="preserve">Bor tangan listrik </t>
  </si>
  <si>
    <t>https://www.monotaro.id/items/s000045017.html?utm_source=google&amp;utm_medium=pla&amp;utm_campaign=1672206402&amp;utm_content=88187085595&amp;gad_source=1&amp;gclid=CjwKCAiAmfq6BhAsEiwAX1jsZ6i0fPuXI76hOnQrg7uWHPPMYS15tQ1lGoNZxZjgmxI-lXqRo6OsqhoCQx8QAvD_BwE</t>
  </si>
  <si>
    <t>New (NOK)</t>
  </si>
  <si>
    <t xml:space="preserve">Bor tangan DC </t>
  </si>
  <si>
    <t>Mesin Gerinda</t>
  </si>
  <si>
    <t>Vaccum Panel</t>
  </si>
  <si>
    <t>Senter Kepala</t>
  </si>
  <si>
    <t>Obeng Plus Kecil  100mm</t>
  </si>
  <si>
    <t>Obeng Plus Besar 200mm</t>
  </si>
  <si>
    <t>Obeng Min Kecil   100mm</t>
  </si>
  <si>
    <t>Obeng Min Besar  200mm</t>
  </si>
  <si>
    <t>Tang Snap Ring External 170mm</t>
  </si>
  <si>
    <t>Tang Snap Ring Internal 170mm</t>
  </si>
  <si>
    <t>Tang Potong / Plier Side Cutting 6"</t>
  </si>
  <si>
    <t>Tang Jepit / Long Nouse 6"</t>
  </si>
  <si>
    <t>Tang Kombinasi / Plier Combination 7"</t>
  </si>
  <si>
    <t>Tang ripet</t>
  </si>
  <si>
    <t>Kunci Pas 6-7</t>
  </si>
  <si>
    <t>Kunci Pas 8-9</t>
  </si>
  <si>
    <t>Kunci Pas 10-11</t>
  </si>
  <si>
    <t>Kunci Pas 12-13</t>
  </si>
  <si>
    <t>Kunci Pas 14-15</t>
  </si>
  <si>
    <t>Kunci Pas 16-17</t>
  </si>
  <si>
    <t>Kunci Inggris</t>
  </si>
  <si>
    <t>Cutter</t>
  </si>
  <si>
    <t>Ear Plug</t>
  </si>
  <si>
    <t>Kunci L set</t>
  </si>
  <si>
    <t>Roll meter 30 m/meteran</t>
  </si>
  <si>
    <t>Tang Crimping RJ11, 45</t>
  </si>
  <si>
    <t>Tekiro</t>
  </si>
  <si>
    <t>Kunci pipa kecil 12"</t>
  </si>
  <si>
    <t>Tangga almunium 1,5 M</t>
  </si>
  <si>
    <t>Tangga almunium 2 M</t>
  </si>
  <si>
    <t>Solder listrik 100 - 200 watt</t>
  </si>
  <si>
    <t>https://www.monotaro.id/items/s018026498.html?utm_source=google&amp;utm_medium=pla&amp;utm_campaign=1672206402&amp;utm_content=88187085595&amp;gad_source=1&amp;gclid=CjwKCAiAmfq6BhAsEiwAX1jsZ2VC3dCTYcHBDeXDN4r_BoXn010XnL1f3yIHUiISYaelyMcgSpf0hxoCJKMQAvD_BwE</t>
  </si>
  <si>
    <t>Tas Pinggang</t>
  </si>
  <si>
    <t>Tespen Kecil</t>
  </si>
  <si>
    <t>Mata Bor Beton</t>
  </si>
  <si>
    <t>set</t>
  </si>
  <si>
    <t>Gergaji Besi</t>
  </si>
  <si>
    <t>Mata Bor Besi (Bosc)</t>
  </si>
  <si>
    <t>Obeng ketok +</t>
  </si>
  <si>
    <t>Obeng Ketok -</t>
  </si>
  <si>
    <t>Obeng Cebol + (Tekiro)</t>
  </si>
  <si>
    <t>Obeng Cebol - (Tekiro)</t>
  </si>
  <si>
    <t>Waterpass</t>
  </si>
  <si>
    <t>https://www.monotaro.id/items/s013429041.html?utm_source=google&amp;utm_medium=pla&amp;utm_campaign=1672206402&amp;utm_content=88187085595&amp;gad_source=1&amp;gclid=CjwKCAiAmfq6BhAsEiwAX1jsZ6OnRzuLxuyDkFVrjoL3ZRuoPKmWwsWnhambxc3jsMLwQRu_XNHQuhoCo1oQAvD_BwE</t>
  </si>
  <si>
    <t>Kunci shock</t>
  </si>
  <si>
    <t>Palu</t>
  </si>
  <si>
    <t>Kunci Y 8,10,12 (Tekiro)</t>
  </si>
  <si>
    <t>Body Harnest</t>
  </si>
  <si>
    <t>Sarung Tangan Listrik/Karet</t>
  </si>
  <si>
    <t>https://www.monotaro.id/items/s018048995.html?utm_source=google&amp;utm_medium=pla&amp;utm_campaign=1672206402&amp;utm_content=88187085595&amp;gad_source=1&amp;gclid=CjwKCAiAmfq6BhAsEiwAX1jsZ2T0trLH0RVu1xDtUChF1ac4XbKieuFsiTewsgvtCndQ6j5wAa-GhxoCm_4QAvD_BwE</t>
  </si>
  <si>
    <t>New 2025</t>
  </si>
  <si>
    <t>Tang Lancip 6 Inchi</t>
  </si>
  <si>
    <t>https://www.monotaro.id/items/s013202316.html?utm_source=google&amp;utm_medium=pla&amp;utm_campaign=1672206402&amp;utm_content=88187085595&amp;gad_source=1&amp;gclid=CjwKCAiAmfq6BhAsEiwAX1jsZwGJEB8zREd_b9CXA3s1JXaOd_lYLVIZTeTZHMEF6-VhiETgb98HohoCgsMQAvD_BwE</t>
  </si>
  <si>
    <t>Kunci pipa</t>
  </si>
  <si>
    <t xml:space="preserve">Kunci pipa kecil </t>
  </si>
  <si>
    <t>Mechanic Tools Kit</t>
  </si>
  <si>
    <t>Label Printer</t>
  </si>
  <si>
    <t>Jas Hujan</t>
  </si>
  <si>
    <t>TOOLS AC</t>
  </si>
  <si>
    <t>Selang Pompa Steam AC</t>
  </si>
  <si>
    <t>1/4"</t>
  </si>
  <si>
    <t>Odoo</t>
  </si>
  <si>
    <t>Plastik Service AC</t>
  </si>
  <si>
    <t>Split</t>
  </si>
  <si>
    <t>https://www.tokopedia.com/ikieshop/plastik-cuci-ac-split-indoor-outdoor-unit?extParam=ivf%3Dfalse%26keyword%3Dplastik+cuci+ac%26search_id%3D20241031033649646EA4D1E603FA282ZH0%26src%3Dsearch</t>
  </si>
  <si>
    <t>Selang Air</t>
  </si>
  <si>
    <t>5/8"</t>
  </si>
  <si>
    <t>https://www.tokopedia.com/planetselang/paket-selang-air-30-meter-5-8-inch-tebal-1-mm-selang-air-serat-benang?src=topads</t>
  </si>
  <si>
    <t>Kabel Roll NYM 30 Meter</t>
  </si>
  <si>
    <t>1.5 mm x 3 Supreme</t>
  </si>
  <si>
    <t>https://www.tokopedia.com/ntelectric/supreme-kabel-nym-3x1-5-3-x-1-5-3x1-5-mm-putih-permeter?extParam=ivf%3Dfalse%26keyword%3Dkabel+nym+3x1+5+supreme%26search_id%3D20241031034313A07854F78A6F2C2ED0EW%26src%3Dsearch&amp;refined=true</t>
  </si>
  <si>
    <t>Kanebo</t>
  </si>
  <si>
    <t>32 x 21 cm</t>
  </si>
  <si>
    <t>https://www.tokopedia.com/shanumelmyra/kain-lap-kanebo-ukuran-32-x-21-cm-lap-mobil-lap-motor-lap-sepeda-murah</t>
  </si>
  <si>
    <t>Senter Kepala/Headlamp</t>
  </si>
  <si>
    <t>LED CREE XML T6</t>
  </si>
  <si>
    <t>https://www.tokopedia.com/agenled/lampu-senter-kepala-led-30w-headlamp-cob-recharge-cas-charger-30-watt?extParam=ivf%3Dfalse&amp;src=topads</t>
  </si>
  <si>
    <t>Tangga Lipat</t>
  </si>
  <si>
    <t>3 Meter Alumunium</t>
  </si>
  <si>
    <t>Mesin Vacuum AC</t>
  </si>
  <si>
    <t>Value VE115N 1/4 HP</t>
  </si>
  <si>
    <t>https://www.tokopedia.com/jefry1fernando/vacum-pump-ac-1-4-pk-vacuum-pump-mobil-dan-kulkas-value-ve115n?extParam=ivf%3Dfalse%26keyword%3Dve115n%26search_id%3D20241031040051646EA4D1E603FA30DQZ3%26src%3Dsearch</t>
  </si>
  <si>
    <t>Cutter Pipa Tube</t>
  </si>
  <si>
    <t>CT-128</t>
  </si>
  <si>
    <t>https://www.tokopedia.com/kontinumabadi/tube-cutter-alat-pemotong-pipa-ac-ct-128</t>
  </si>
  <si>
    <t>Flaring Tools AC</t>
  </si>
  <si>
    <t>Value VFT-808-IN</t>
  </si>
  <si>
    <t>https://www.tokopedia.com/gendosparepart/value-flaring-tool-vft-808-in</t>
  </si>
  <si>
    <t>Thermogun</t>
  </si>
  <si>
    <t>WH320</t>
  </si>
  <si>
    <t>https://www.tokopedia.com/binaelectric/industrial-infrared-thermogun-wh320-dv-thermometer-gun-dv-celcius</t>
  </si>
  <si>
    <t>Solder Listrik</t>
  </si>
  <si>
    <t>IRON 60 Watt</t>
  </si>
  <si>
    <t>https://www.tokopedia.com/mangjajang/solder-listrik-iron-60w-adjustable-temperatur-200-450-c-solder?extParam=ivf%3Dfalse%26keyword%3Dsolder+60+watt%26search_id%3D202410310405080801EAA2BB119B2D5Q4G%26src%3Dsearch%26whid%3D12669178</t>
  </si>
  <si>
    <t>Manifold</t>
  </si>
  <si>
    <t>DBL B536 Multi/500</t>
  </si>
  <si>
    <t>https://www.tokopedia.com/terataianeka/testing-manifold-ac-double-multi-r22-r134a-r410a-r32-starmec-dbl-b536</t>
  </si>
  <si>
    <t>VMG-2-R410A-B-02</t>
  </si>
  <si>
    <t>https://www.tokopedia.com/injaya21/manifold-value-r410-vmg-r410a-b-02-manifold-double-multi-r22-r410</t>
  </si>
  <si>
    <t>PGD-536GF</t>
  </si>
  <si>
    <t>https://shopee.co.id/Testing-Manifold-STARMEC-PGD-536GF-Double-Manifold-PGD536-GF-STARMEC-i.233341203.7534553994</t>
  </si>
  <si>
    <t>0.6mm Asahi</t>
  </si>
  <si>
    <t>https://www.tokopedia.com/bentshops/timah-asahi-0-6-mm-60-40-timah-solder-asahi-original?extParam=ivf%3Dfalse&amp;src=topads</t>
  </si>
  <si>
    <t>Pompa Steam</t>
  </si>
  <si>
    <t>Moris MOR-409</t>
  </si>
  <si>
    <t>https://www.tokopedia.com/remajateknik88/jet-ac-cleaner-high-pressure-nlg-hpc-40-ts-alternatif-morris-40p-unit-saja-bawaan-5-meter-0f514?extParam=ivf%3Dfalse&amp;src=topads</t>
  </si>
  <si>
    <t>Mesin Las Acetylene</t>
  </si>
  <si>
    <t>MMA 500</t>
  </si>
  <si>
    <t>https://tokopedia.link/X6cW41nE8Nb</t>
  </si>
  <si>
    <t>Ember Besar</t>
  </si>
  <si>
    <t>https://tokopedia.link/CXRpB1AE8Nb</t>
  </si>
  <si>
    <t>Kunci Y</t>
  </si>
  <si>
    <t>https://tokopedia.link/sb9Tf1ME8Nb</t>
  </si>
  <si>
    <t>Trolley</t>
  </si>
  <si>
    <t>https://tokopedia.link/jYIZWzZE8Nb</t>
  </si>
  <si>
    <t>https://tokopedia.link/VCltXBOH8Nb</t>
  </si>
  <si>
    <t>Terpal</t>
  </si>
  <si>
    <t>https://tokopedia.link/yHWGVThF8Nb</t>
  </si>
  <si>
    <t>R22</t>
  </si>
  <si>
    <t>Netto : 13,6kg, Bruto : 16,5kg</t>
  </si>
  <si>
    <t>https://www.tokopedia.com/technicamarket/freon-refrigerant-22-r22?extParam=ivf%3Dfalse%26keyword%3Dfreon+refrigerant+r22&amp;src=topads</t>
  </si>
  <si>
    <t>R41</t>
  </si>
  <si>
    <t>Netto : 11,3kg, Bruto : 15kg</t>
  </si>
  <si>
    <t>https://www.tokopedia.com/technicamarket/freon-refrigerant-410a-r410a?extParam=ivf%3Dfalse%26keyword%3Dfreon+r410a&amp;src=topads</t>
  </si>
  <si>
    <t>R32</t>
  </si>
  <si>
    <t>netto : 9,5KG, bruto : 14KG</t>
  </si>
  <si>
    <t>https://www.tokopedia.com/technicamarket/freon-refrigerant-32-r32?extParam=whid%3D2969135%26src%3Dshop&amp;aff_unique_id=&amp;channel=others&amp;chain_key=</t>
  </si>
  <si>
    <t>Tang Kombinasi uk 8 inc</t>
  </si>
  <si>
    <t>https://www.tokopedia.com/fssafety/tekiro-tang-kombinasi-potong-lancip-4-5-6-7-8-inch-t-lancip-4-5?extParam=ivf%3Dfalse%26keyword%3Dtang+kombinasi+tekiro+8+inch&amp;src=topads</t>
  </si>
  <si>
    <t>Kunci L Bintang</t>
  </si>
  <si>
    <t>https://www.tokopedia.com/fixcomart/tekiro-kunci-l-set-torx-9-pcs-kunci-l-bintang-set-tanpa-lubang?extParam=ivf%3Dfalse%26keyword%3Dkunci+l+bintang+tekiro%26search_id%3D202412160255180ADBC311731E101AA5SF%26src%3Dsearch</t>
  </si>
  <si>
    <t>Meteran 5 Mtr</t>
  </si>
  <si>
    <t>https://www.tokopedia.com/timteknik/tekiro-meteran-5m-transparan-meteran-tangan?extParam=ivf%3Dfalse%26keyword%3Dmeteran+tekiro+5m%26search_id%3D20241216025708DB1B51FF54C67C39714N%26src%3Dsearch</t>
  </si>
  <si>
    <t xml:space="preserve">Kunci L biasa </t>
  </si>
  <si>
    <t>https://www.tokopedia.com/fixcomart/tekiro-kunci-l-set-panjang-8-pcs-2-10-mm-hex-key-long?extParam=cmp%3D1%26ivf%3Dtrue%26keyword%3Dkunci+l+tekiro+set%26search_id%3D2024121602580997CC7940F0C5251ABORX%26src%3Dsearch</t>
  </si>
  <si>
    <t xml:space="preserve">Kunci Inggris uk. 8 </t>
  </si>
  <si>
    <t>https://www.tokopedia.com/timteknik/tekiro-kunci-inggris-8?extParam=ivf%3Dfalse%26keyword%3Dkunci+inggris+tekiro+8%26search_id%3D2024121602595453855FD8D49DD5221MZL%26src%3Dsearch</t>
  </si>
  <si>
    <t>Kunci Inggris uk. 10</t>
  </si>
  <si>
    <t>https://www.tokopedia.com/timteknik/tekiro-kunci-inggris-10</t>
  </si>
  <si>
    <t>Kuanci Inggrisuk. 12</t>
  </si>
  <si>
    <t>https://www.tokopedia.com/timteknik/tekiro-kunci-inggris-12</t>
  </si>
  <si>
    <t xml:space="preserve">Waterpass </t>
  </si>
  <si>
    <t>https://www.tokopedia.com/timteknik/tekiro-waterpass-magnet-panjang-24-60cm?extParam=ivf%3Dfalse%26keyword%3Dwaterpass+tekiro%26search_id%3D20241216030241D8B574E31928C135BW08%26src%3Dsearch</t>
  </si>
  <si>
    <t xml:space="preserve">Tang Lancip </t>
  </si>
  <si>
    <t>https://www.tokopedia.com/fixcomart/tang-lancip-tekiro-8-inch-tang-cucut?extParam=ivf%3Dfalse%26keyword%3Dtang+lancip+tekiro%26search_id%3D2024121603095899AA580D148C171D1ESO%26src%3Dsearch</t>
  </si>
  <si>
    <t xml:space="preserve">Cutter </t>
  </si>
  <si>
    <t>https://www.tokopedia.com/onoshop/cutter-acrylic-pisau-alat-potong-acrylic-tekiro-gt-ct2063?extParam=ivf%3Dfalse%26keyword%3Dcutter+tekiro%26search_id%3D202412160322207C26C6AC106AE2134EOW%26src%3Dsearch</t>
  </si>
  <si>
    <t>A-300</t>
  </si>
  <si>
    <t>https://www.tokopedia.com/caelight20/cutter-kenko-a-300-kenko-a300-cutter-cutter-kenko-kecil-a300?utm_source=google&amp;utm_medium=organic&amp;utm_campaign=pdp</t>
  </si>
  <si>
    <t>Obeng min (-)</t>
  </si>
  <si>
    <t>https://www.tokopedia.com/glodoksupermarket/obeng-plus-8-inch-tekiro-diameter-6mm-ph2-panjang-besi-20cm-magnet-gag-tanpa-bubble-767ac?extParam=ivf%3Dfalse%26keyword%3Dobeng+plus+tekiro%26search_id%3D2024121603393302F3ED22F52BEC166EBQ%26src%3Dsearch</t>
  </si>
  <si>
    <t>Obeng plus (+)</t>
  </si>
  <si>
    <t>https://www.tokopedia.com/88te/tekiro-obeng-plus-minus-gagang-karet-6mm-original-tekiro-termurah-minus-300mm-6809d?extParam=ivf%3Dfalse%26keyword%3Dobeng+minus+tekiro%26search_id%3D202412160342527C26C6AC106AE23512YD%26src%3Dsearch</t>
  </si>
  <si>
    <t>Tespen</t>
  </si>
  <si>
    <t>https://www.tokopedia.com/tekiro-rexco/tekiro-tespen-ac-tespen-listrik-tools-alat-perkakas?extParam=ivf%3Dfalse%26keyword%3Dtespen+tekiro%26search_id%3D20241216033246040F645A0D3C9E178U7U%26src%3Dsearch</t>
  </si>
  <si>
    <t>Tang Handrip</t>
  </si>
  <si>
    <t>https://www.tokopedia.com/belanjateknik/tekiro-tang-buaya-bengkok-10-inch-locking-grip-pliers-10-inchi-tekiro?extParam=ivf%3Dfalse%26keyword%3Dtang+grip&amp;src=topads</t>
  </si>
  <si>
    <t>Kunci pas Ring</t>
  </si>
  <si>
    <t>https://www.tokopedia.com/gsg/sale-kunci-ring-pas-set-tekiro-11pcs-8-24-pcs-tekiro-11-pcs-8-24pcs-kunci-ring-pas?extParam=ivf%3Dfalse%26keyword%3Dkunci+pas+ring+tekiro%26search_id%3D20241216041145D987C39936289E288Q2Y%26src%3Dsearch</t>
  </si>
  <si>
    <t>Tang potong uk. 8 Inc</t>
  </si>
  <si>
    <t>https://www.tokopedia.com/nagateknika/tekiro-tang-kombinasi-8-inci-tekiro-tang-japit-8-linesman-pliers-8?extParam=ivf%3Dfalse%26keyword%3Dtang+kombinasi+tekiro+8+inch%26search_id%3D20241216041308DB1B51FF54C67C26FVWD%26src%3Dsearch</t>
  </si>
  <si>
    <t xml:space="preserve">Obeng set </t>
  </si>
  <si>
    <t>https://www.tokopedia.com/tokokpa/obeng-set-tekiro-interchangeable-screwdriver-set-19-in-1-obeng-set?extParam=ivf%3Dfalse%26keyword%3Dobeng+tekiro+set%26search_id%3D202412160414399DD646441E5F5D1BBML7%26src%3Dsearch</t>
  </si>
  <si>
    <t>Selang analizer</t>
  </si>
  <si>
    <t>https://www.tokopedia.com/willshoponline/selang-manifold-ac-freon-r22-1-set-3-pcs-90cm?extParam=ivf%3Dfalse%26keyword%3Dselang+manifold+ac%26search_id%3D202412160419169DD646441E5F5D208NN1%26src%3Dsearch</t>
  </si>
  <si>
    <t>Obeng Stuby</t>
  </si>
  <si>
    <t>https://www.tokopedia.com/mperkakas/tekiro-obeng-bogel-stubby-2-arah-obeng-cebol-plus-minus-2-in-1?extParam=ivf%3Dfalse%26keyword%3Dobeng+cebol+tekiro&amp;src=topads</t>
  </si>
  <si>
    <t>Vacum Freon 3 1/4 Value</t>
  </si>
  <si>
    <t>Valeu</t>
  </si>
  <si>
    <t>https://www.tokopedia.com/pastibeliterus/vacuum-pump-ac-ve115n-value-1-4-pk-merk-valeu?extParam=ivf%3Dfalse%26keyword%3Dvacum+ac+value%26search_id%3D20241216042131DB1B51FF54C67C15B7VZ%26src%3Dsearch</t>
  </si>
  <si>
    <t>Cater pipa</t>
  </si>
  <si>
    <t>https://www.tokopedia.com/amd-hardware/gunting-pipa-pvc-42mm-tekiro-kapusi-original-japan-pipe-cutter-42-mm-maxsupe-42mm-54919?extParam=ivf%3Dfalse%26keyword%3Dgunting+pipa+tekiro%26search_id%3D20241216042322F8C57B7E4F0FA2228MT0%26src%3Dsearch</t>
  </si>
  <si>
    <t>Bor listrik</t>
  </si>
  <si>
    <t>Bosch GSB 600</t>
  </si>
  <si>
    <t>https://www.tokopedia.com/drillandco/bosch-gsb-600-mesin-bor-tangan-listrik-beton-13-mm-impact-drill-600w?extParam=cmp%3D1%26ivf%3Dfalse%26keyword%3Dbor+listrik+bosch%26search_id%3D20241216042426F8C57B7E4F0FA213DNKG%26src%3Dsearch</t>
  </si>
  <si>
    <t>by UT</t>
  </si>
  <si>
    <t>Tang Jepit 7 inch</t>
  </si>
  <si>
    <t>https://www.tokopedia.com/timteknik/tekiro-tang-kombinasi-ukuran-7-inch?extParam=ivf%3Dfalse%26keyword%3Dtang+tekiro+7%26search_id%3D20241216043012B588B6232055EF0856Y8%26src%3Dsearch</t>
  </si>
  <si>
    <t>Bor Battery</t>
  </si>
  <si>
    <t>Bosh</t>
  </si>
  <si>
    <t>https://www.tokopedia.com/drillandco/bosch-gsb-18v-50-mesin-bor-tembok-baterai-cordless-drill-brushless?extParam=ivf%3Dfalse%26keyword%3Dmesin+bor+baterai+bosch%26search_id%3D202412160436470ADBC311731E103DEV6L%26src%3Dsearch</t>
  </si>
  <si>
    <t xml:space="preserve">Jas Hujan </t>
  </si>
  <si>
    <t>Oddo</t>
  </si>
  <si>
    <t>Palu besi uk. Sedang</t>
  </si>
  <si>
    <t>Camel</t>
  </si>
  <si>
    <t>https://www.tokopedia.com/myluckyshop88/camel-palu-kambing-gagang-besi-lapis-karet-0-25kg-0-25-kg?extParam=ivf%3Dfalse%26keyword%3Dpalu+besi%26search_id%3D202412160439261C1EE7431EB9D604DYME%26src%3Dsearch</t>
  </si>
  <si>
    <t>Traiker kecil 2 kaki</t>
  </si>
  <si>
    <t>https://www.tokopedia.com/timteknik/tekiro-treker-kaki-2-ukuran-8?extParam=ivf%3Dfalse%26keyword%3Dtreker+2+kaki%26search_id%3D20241216044048697C727B236B540A7H8U%26src%3Dsearch</t>
  </si>
  <si>
    <t>Mata Bor</t>
  </si>
  <si>
    <t>Checmical</t>
  </si>
  <si>
    <t>Liter</t>
  </si>
  <si>
    <t>TOOLS CIVIL</t>
  </si>
  <si>
    <t>Civil</t>
  </si>
  <si>
    <t>Jack Hammer (set)</t>
  </si>
  <si>
    <t>Makita</t>
  </si>
  <si>
    <t>Gerobag Celeng</t>
  </si>
  <si>
    <t>Meteran</t>
  </si>
  <si>
    <t>30 Meter</t>
  </si>
  <si>
    <t>Hair drayer</t>
  </si>
  <si>
    <t>https://shopee.co.id/product/192848317/19876289095?gads_t_sig=VTJGc2RHVmtYMTlxTFVSVVRrdENkWVp3RFo3Mkw5czd4Z0hzdEF1WVFiazczUkpkaUVwcUNFWkNrcmJJbjBWdkI3aTFBTk9kQkRCc1haUXhLVGtLaFdpeU9Cc1VUYXR3MWdvNCs5d0RwVytWMXVKRmROeHBYZGEzdStXR2pTWGU&amp;gad_source=1&amp;gclid=CjwKCAiAmfq6BhAsEiwAX1jsZ5zObNd0ZVtK8OZm-bKRduNfFge6c0KTO4UJMu-GrG3RJK_mOVqarBoCug8QAvD_BwE</t>
  </si>
  <si>
    <t>Meteran uk. 5 mtr</t>
  </si>
  <si>
    <t>Meteran laser/digital</t>
  </si>
  <si>
    <t>Meteran jangka sorong</t>
  </si>
  <si>
    <t>https://www.monotaro.id/items/s000052817.html?utm_source=google&amp;utm_medium=pla&amp;utm_campaign=1672206402&amp;utm_content=88187085595&amp;gad_source=1&amp;gclid=CjwKCAiAmfq6BhAsEiwAX1jsZ4detZQcF3A8gKizxCFsHhQ7ROIGA8sH2fXS3c-ebJqvYBiGoXlqnRoCW_8QAvD_BwE</t>
  </si>
  <si>
    <t>Sepatu Booth</t>
  </si>
  <si>
    <t>Senter kepala</t>
  </si>
  <si>
    <t>Mata bor</t>
  </si>
  <si>
    <t>Lampiran 2</t>
  </si>
  <si>
    <t>NAMA MANPOWER</t>
  </si>
  <si>
    <t>POSISI</t>
  </si>
  <si>
    <t>LOKASI KERJA</t>
  </si>
  <si>
    <t>Haryono</t>
  </si>
  <si>
    <t>SPV. AC</t>
  </si>
  <si>
    <t>Non UT HO</t>
  </si>
  <si>
    <t>Bambang Agi Siswandi</t>
  </si>
  <si>
    <t>Edi Purwanto</t>
  </si>
  <si>
    <t>Muhammad Ridwan</t>
  </si>
  <si>
    <t>Eko Krisdianto</t>
  </si>
  <si>
    <t>Dwi Riszi Aripyanto</t>
  </si>
  <si>
    <t>UT HO &amp; Employee Center</t>
  </si>
  <si>
    <t>Hadi Susanto</t>
  </si>
  <si>
    <t>Joko Santoso</t>
  </si>
  <si>
    <t>Demig Ali Bimawan</t>
  </si>
  <si>
    <t>Dimas Solih Prastiaji</t>
  </si>
  <si>
    <t>Akhmad Taryono</t>
  </si>
  <si>
    <t>SPV. ME</t>
  </si>
  <si>
    <t>Bambang Sutrisno</t>
  </si>
  <si>
    <t>Alif Rajab Burrahman</t>
  </si>
  <si>
    <t>Deni Tri Prasetyo</t>
  </si>
  <si>
    <t>Narto Budiman</t>
  </si>
  <si>
    <t>Tria Burhanudin</t>
  </si>
  <si>
    <t>Muhamad Fathan</t>
  </si>
  <si>
    <t>Mauludil Ansori</t>
  </si>
  <si>
    <t>Telecommunication</t>
  </si>
  <si>
    <t>Wahyudi Nugroho</t>
  </si>
  <si>
    <t>Ahmad Fauzy Hermawan</t>
  </si>
  <si>
    <t>UT Corpu</t>
  </si>
  <si>
    <t>Syaiful Hadi</t>
  </si>
  <si>
    <t>Misnadi</t>
  </si>
  <si>
    <t>Naoval Aliansyah</t>
  </si>
  <si>
    <t>Adang Suhendar Yanto</t>
  </si>
  <si>
    <t>SPV. IPAL</t>
  </si>
  <si>
    <t>UT HO (EHS)</t>
  </si>
  <si>
    <t>Alfian Daniswara</t>
  </si>
  <si>
    <t>Crew IPAL</t>
  </si>
  <si>
    <t>Susanto</t>
  </si>
  <si>
    <t>Muhamad Ali</t>
  </si>
  <si>
    <t>Sohid</t>
  </si>
  <si>
    <t>Mohamad Palestian</t>
  </si>
  <si>
    <t>Slamet Riyadi</t>
  </si>
  <si>
    <t>Ramadhan Reza Anizar</t>
  </si>
  <si>
    <t>Heri Prastiyo</t>
  </si>
  <si>
    <t>Agus Triawan</t>
  </si>
  <si>
    <t>Gilang Tri Atmojo Nugroho</t>
  </si>
  <si>
    <t>Yayan Sandrio Listanto</t>
  </si>
  <si>
    <t>Rezza Mashudy</t>
  </si>
  <si>
    <t>Khevin Rafaes Santosa Abdi</t>
  </si>
  <si>
    <t>Bayu Setiawan</t>
  </si>
  <si>
    <t>Ibu Sara Kirsti Loebis</t>
  </si>
  <si>
    <t>Corporate Governance &amp; Sustainability Division Head</t>
  </si>
  <si>
    <t>Kelebihan biaya MCU ditagihkan sesuai aktual</t>
  </si>
  <si>
    <t>BIAYA JASA JOB SUPPLY MAINTENANCE BUILDING TAHUN 2025</t>
  </si>
  <si>
    <t>Dilakukan oleh User</t>
  </si>
  <si>
    <t>10. Apresiasi akhir tahun tidak termasuk dalam harga, dan akan ditagihkan sesuai aktual dengan Cost of Fund sebesar 3%</t>
  </si>
  <si>
    <t>11. Harga akan disesuaikan setiap tahun berdasarkan kenaikan upah minimum kabupaten/kota (UMK)</t>
  </si>
  <si>
    <t>1.   Harga belum termasuk PPN 11%</t>
  </si>
  <si>
    <t>2.   Lingkup pekerjaan &amp; Tools terlampir dalam proposal ini</t>
  </si>
  <si>
    <t>3.   Harga tersebut sudah termasuk BPJS Kesehatan, BPJS Ketenagakerjaan (BPJS Jaminan Kecelakaan Kerja,</t>
  </si>
  <si>
    <t xml:space="preserve">      BPJS Jaminan Kematian, BPJS Jaminan Hari Tua, BPJS Jaminan Pensiun), Kompensasi Kerja (PP no 35</t>
  </si>
  <si>
    <t xml:space="preserve">      Tahun 2021), Tunjangan Hari Raya (THR), Alat Pelindung Diri (APD) dan Pakaian Kerja</t>
  </si>
  <si>
    <t>4.   Harga sudah termasuk biaya MCU, kelebihan biaya MCU ditagihkan sesuai aktual dengan Management Fee 5%</t>
  </si>
  <si>
    <t>5.   Perhitungan dan aturan lembur sesuai aturan disnaker</t>
  </si>
  <si>
    <t>6.   Lembur ditagihkan sesuai aktual dengan management fee 5%</t>
  </si>
  <si>
    <t>7.   Makan disediakan oleh User</t>
  </si>
  <si>
    <t>8.   Sertifikasi akan dilakukan oleh User</t>
  </si>
  <si>
    <t>9.   Training ditagihkan sesuai aktual dengan management fee 5%</t>
  </si>
  <si>
    <t>MP 2025</t>
  </si>
  <si>
    <t>SC IPAL 2024</t>
  </si>
  <si>
    <t>JARWO 2024/ Bulan</t>
  </si>
  <si>
    <t>Cost 2025/ Year</t>
  </si>
  <si>
    <t>Jarwo 2025</t>
  </si>
  <si>
    <t>CS 2025</t>
  </si>
  <si>
    <t>Cost MP</t>
  </si>
  <si>
    <t>Cost Tools</t>
  </si>
  <si>
    <t>Sisa LAB</t>
  </si>
  <si>
    <t>PT MITRA BAKTI UT</t>
  </si>
  <si>
    <t>Keterangan</t>
  </si>
  <si>
    <t>Kuantitas</t>
  </si>
  <si>
    <t>Harga</t>
  </si>
  <si>
    <t>Biaya</t>
  </si>
  <si>
    <t>Depr</t>
  </si>
  <si>
    <t>Biaya / bln</t>
  </si>
  <si>
    <t>Kunci Pipa Kecil 12"</t>
  </si>
  <si>
    <t>TOTAL</t>
  </si>
  <si>
    <t>BIAYA PERALATAN MAINTENANCE PER BULAN</t>
  </si>
  <si>
    <t>PT UNITED TRACTORS TBK - HEAD OFFICE</t>
  </si>
  <si>
    <t>Thermal Imager</t>
  </si>
  <si>
    <t xml:space="preserve">Bor Tangan Listrik </t>
  </si>
  <si>
    <t>Tang Ripet</t>
  </si>
  <si>
    <t>Kunci L Set</t>
  </si>
  <si>
    <t>Roll Meter 30 M/Meteran</t>
  </si>
  <si>
    <t>Tangga Almunium 1,5 M</t>
  </si>
  <si>
    <t>Tangga Almunium 2 M</t>
  </si>
  <si>
    <t>Solder Listrik 100 - 200 Watt</t>
  </si>
  <si>
    <t>Obeng Ketok +</t>
  </si>
  <si>
    <t>Kunci Shock</t>
  </si>
  <si>
    <t>Kunci Pipa</t>
  </si>
  <si>
    <t xml:space="preserve">Kunci Pipa Kecil </t>
  </si>
  <si>
    <t>Bor Tangan DC</t>
  </si>
  <si>
    <t>Obeng Plus Kecil 100mm</t>
  </si>
  <si>
    <t>Obeng Min Kecil 100mm</t>
  </si>
  <si>
    <t>Obeng Min Besar 200mm</t>
  </si>
  <si>
    <t>A. PERALATAN ADMINISTRATION</t>
  </si>
  <si>
    <t>B. PERALATAN ME</t>
  </si>
  <si>
    <t>C. PERALATAN AC</t>
  </si>
  <si>
    <t>Kabel Roll Nym 30 Meter</t>
  </si>
  <si>
    <t>Tang Kombinasi Uk 8 Inc</t>
  </si>
  <si>
    <t xml:space="preserve">Kunci L Biasa </t>
  </si>
  <si>
    <t xml:space="preserve">Kunci Inggris Uk. 8 </t>
  </si>
  <si>
    <t>Kunci Inggris Uk. 10</t>
  </si>
  <si>
    <t>Obeng Min (-)</t>
  </si>
  <si>
    <t>Obeng Plus (+)</t>
  </si>
  <si>
    <t>Kunci Pas Ring</t>
  </si>
  <si>
    <t>Tang Potong Uk. 8 Inc</t>
  </si>
  <si>
    <t xml:space="preserve">Obeng Set </t>
  </si>
  <si>
    <t>Selang Analizer</t>
  </si>
  <si>
    <t>Cater Pipa</t>
  </si>
  <si>
    <t>Bor Listrik</t>
  </si>
  <si>
    <t>Tang Jepit 7 Inch</t>
  </si>
  <si>
    <t>Palu Besi Uk. Sedang</t>
  </si>
  <si>
    <t>Traiker Kecil 2 Kaki</t>
  </si>
  <si>
    <t>Kuanci Inggris Uk. 12</t>
  </si>
  <si>
    <t>D. PERALATAN CIVIL</t>
  </si>
  <si>
    <t>Jakarta, 10 Februari 2025</t>
  </si>
  <si>
    <t>Smoke Test 70gr</t>
  </si>
  <si>
    <t>botol</t>
  </si>
  <si>
    <t>OH</t>
  </si>
  <si>
    <t>M fee</t>
  </si>
  <si>
    <t>UUCK</t>
  </si>
  <si>
    <t>TENAGA KERJA JOB SUPPLY MAINTENANCE</t>
  </si>
  <si>
    <t>7 Lembar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</si>
</sst>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Rp&quot;#,##0;[Red]\-&quot;Rp&quot;#,##0"/>
    <numFmt numFmtId="8" formatCode="&quot;Rp&quot;#,##0.00;[Red]\-&quot;Rp&quot;#,##0.0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-[$Rp-3809]* #,##0_-;\-[$Rp-3809]* #,##0_-;_-[$Rp-3809]* &quot;-&quot;??_-;_-@"/>
    <numFmt numFmtId="168" formatCode="_-[$Rp-421]* #,##0_-;_-[$Rp-421]* \-#,##0_-;_-[$Rp-421]* &quot;-&quot;??_-;_-@"/>
    <numFmt numFmtId="169" formatCode="_-[$Rp-3809]* #,##0_-;\-[$Rp-3809]* #,##0_-;_-[$Rp-3809]* &quot;-&quot;??_-;_-@_-"/>
    <numFmt numFmtId="170" formatCode="_-&quot;Rp&quot;* #,##0_-;\-&quot;Rp&quot;* #,##0_-;_-&quot;Rp&quot;* &quot;-&quot;??_-;_-@_-"/>
    <numFmt numFmtId="171" formatCode="_(* #,##0_);_(* \(#,##0\);_(* &quot;-&quot;??_);_(@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rgb="FF000000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u/>
      <sz val="10"/>
      <name val="Trebuchet MS"/>
      <family val="2"/>
    </font>
    <font>
      <b/>
      <u/>
      <sz val="10"/>
      <color theme="1"/>
      <name val="Trebuchet MS"/>
      <family val="2"/>
    </font>
    <font>
      <b/>
      <sz val="12"/>
      <color theme="1"/>
      <name val="Trebuchet MS"/>
      <family val="2"/>
    </font>
    <font>
      <b/>
      <sz val="12"/>
      <name val="Trebuchet MS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Trebuchet MS"/>
      <family val="2"/>
    </font>
    <font>
      <i/>
      <sz val="11"/>
      <name val="Trebuchet MS"/>
      <family val="2"/>
    </font>
    <font>
      <i/>
      <sz val="9"/>
      <name val="Trebuchet MS"/>
      <family val="2"/>
    </font>
    <font>
      <sz val="11"/>
      <color rgb="FFFF0000"/>
      <name val="Trebuchet MS"/>
      <family val="2"/>
    </font>
    <font>
      <sz val="11"/>
      <color theme="1"/>
      <name val="Trebuchet MS"/>
      <family val="2"/>
    </font>
    <font>
      <b/>
      <sz val="11"/>
      <color theme="0"/>
      <name val="Trebuchet MS"/>
      <family val="2"/>
    </font>
    <font>
      <b/>
      <sz val="11"/>
      <color theme="1"/>
      <name val="Trebuchet MS"/>
      <family val="2"/>
    </font>
    <font>
      <sz val="11"/>
      <name val="Trebuchet MS"/>
      <family val="2"/>
    </font>
    <font>
      <b/>
      <sz val="11"/>
      <color theme="0"/>
      <name val="Trebuchet MS"/>
      <family val="2"/>
    </font>
    <font>
      <sz val="11"/>
      <color rgb="FF000000"/>
      <name val="Trebuchet MS"/>
      <family val="2"/>
    </font>
    <font>
      <sz val="11"/>
      <color theme="0"/>
      <name val="Trebuchet MS"/>
      <family val="2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1E4E79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/>
    <xf numFmtId="44" fontId="1" fillId="0" borderId="0" applyFont="0" applyFill="0" applyBorder="0" applyAlignment="0" applyProtection="0"/>
    <xf numFmtId="0" fontId="17" fillId="0" borderId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7" fillId="0" borderId="0"/>
    <xf numFmtId="0" fontId="20" fillId="0" borderId="0"/>
    <xf numFmtId="0" fontId="3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9" fillId="0" borderId="0"/>
  </cellStyleXfs>
  <cellXfs count="610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1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/>
    </xf>
    <xf numFmtId="0" fontId="2" fillId="0" borderId="0" xfId="4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2" fillId="3" borderId="1" xfId="4" applyFont="1" applyFill="1" applyBorder="1" applyAlignment="1">
      <alignment horizontal="right" vertical="center" wrapText="1"/>
    </xf>
    <xf numFmtId="41" fontId="2" fillId="3" borderId="1" xfId="0" applyNumberFormat="1" applyFont="1" applyFill="1" applyBorder="1" applyAlignment="1">
      <alignment vertical="center"/>
    </xf>
    <xf numFmtId="41" fontId="2" fillId="3" borderId="1" xfId="4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10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166" fontId="2" fillId="0" borderId="0" xfId="1" quotePrefix="1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3" fontId="10" fillId="0" borderId="0" xfId="2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left" vertical="center"/>
    </xf>
    <xf numFmtId="0" fontId="14" fillId="0" borderId="0" xfId="5" applyFont="1" applyAlignment="1">
      <alignment vertical="center"/>
    </xf>
    <xf numFmtId="0" fontId="15" fillId="0" borderId="0" xfId="5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/>
    </xf>
    <xf numFmtId="0" fontId="18" fillId="0" borderId="0" xfId="7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1" xfId="0" applyBorder="1"/>
    <xf numFmtId="166" fontId="1" fillId="0" borderId="1" xfId="1" applyNumberFormat="1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166" fontId="1" fillId="0" borderId="1" xfId="1" applyNumberFormat="1" applyFont="1" applyFill="1" applyBorder="1"/>
    <xf numFmtId="0" fontId="21" fillId="0" borderId="1" xfId="0" applyFont="1" applyBorder="1"/>
    <xf numFmtId="0" fontId="16" fillId="0" borderId="0" xfId="0" applyFont="1"/>
    <xf numFmtId="0" fontId="22" fillId="0" borderId="0" xfId="0" applyFont="1"/>
    <xf numFmtId="0" fontId="21" fillId="0" borderId="18" xfId="0" applyFont="1" applyBorder="1"/>
    <xf numFmtId="0" fontId="21" fillId="0" borderId="18" xfId="0" applyFont="1" applyBorder="1" applyAlignment="1">
      <alignment horizontal="center"/>
    </xf>
    <xf numFmtId="167" fontId="21" fillId="0" borderId="18" xfId="0" applyNumberFormat="1" applyFont="1" applyBorder="1"/>
    <xf numFmtId="168" fontId="23" fillId="0" borderId="18" xfId="0" applyNumberFormat="1" applyFont="1" applyBorder="1" applyAlignment="1">
      <alignment horizontal="left"/>
    </xf>
    <xf numFmtId="1" fontId="23" fillId="0" borderId="18" xfId="0" applyNumberFormat="1" applyFont="1" applyBorder="1" applyAlignment="1">
      <alignment horizontal="center"/>
    </xf>
    <xf numFmtId="1" fontId="21" fillId="0" borderId="0" xfId="0" applyNumberFormat="1" applyFont="1" applyAlignment="1">
      <alignment horizontal="center"/>
    </xf>
    <xf numFmtId="169" fontId="21" fillId="0" borderId="0" xfId="6" applyNumberFormat="1" applyFont="1"/>
    <xf numFmtId="0" fontId="23" fillId="0" borderId="18" xfId="0" applyFont="1" applyBorder="1"/>
    <xf numFmtId="0" fontId="23" fillId="0" borderId="18" xfId="0" applyFont="1" applyBorder="1" applyAlignment="1">
      <alignment horizontal="center"/>
    </xf>
    <xf numFmtId="0" fontId="21" fillId="0" borderId="20" xfId="0" applyFont="1" applyBorder="1"/>
    <xf numFmtId="0" fontId="21" fillId="0" borderId="0" xfId="0" applyFont="1"/>
    <xf numFmtId="0" fontId="21" fillId="0" borderId="18" xfId="0" applyFont="1" applyBorder="1" applyAlignment="1">
      <alignment wrapText="1"/>
    </xf>
    <xf numFmtId="0" fontId="21" fillId="5" borderId="18" xfId="0" applyFont="1" applyFill="1" applyBorder="1"/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168" fontId="23" fillId="0" borderId="19" xfId="0" applyNumberFormat="1" applyFont="1" applyBorder="1" applyAlignment="1">
      <alignment horizontal="left"/>
    </xf>
    <xf numFmtId="1" fontId="23" fillId="0" borderId="1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7" fillId="0" borderId="18" xfId="0" applyFont="1" applyBorder="1" applyAlignment="1">
      <alignment horizontal="center"/>
    </xf>
    <xf numFmtId="0" fontId="27" fillId="0" borderId="18" xfId="0" applyFont="1" applyBorder="1"/>
    <xf numFmtId="0" fontId="27" fillId="5" borderId="18" xfId="0" applyFont="1" applyFill="1" applyBorder="1" applyAlignment="1">
      <alignment horizontal="left"/>
    </xf>
    <xf numFmtId="0" fontId="27" fillId="0" borderId="20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167" fontId="27" fillId="0" borderId="1" xfId="0" applyNumberFormat="1" applyFont="1" applyBorder="1"/>
    <xf numFmtId="1" fontId="27" fillId="0" borderId="1" xfId="0" applyNumberFormat="1" applyFont="1" applyBorder="1" applyAlignment="1">
      <alignment horizontal="center"/>
    </xf>
    <xf numFmtId="0" fontId="27" fillId="0" borderId="0" xfId="0" applyFont="1"/>
    <xf numFmtId="0" fontId="27" fillId="0" borderId="18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1" xfId="0" applyFont="1" applyBorder="1"/>
    <xf numFmtId="0" fontId="19" fillId="0" borderId="2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69" fontId="0" fillId="0" borderId="0" xfId="0" applyNumberFormat="1"/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5" fillId="0" borderId="0" xfId="10" applyFont="1" applyAlignment="1">
      <alignment vertical="center"/>
    </xf>
    <xf numFmtId="0" fontId="14" fillId="0" borderId="0" xfId="10" applyFont="1" applyAlignment="1">
      <alignment vertical="center"/>
    </xf>
    <xf numFmtId="0" fontId="15" fillId="0" borderId="0" xfId="7" applyFont="1" applyAlignment="1">
      <alignment vertical="center"/>
    </xf>
    <xf numFmtId="0" fontId="15" fillId="0" borderId="0" xfId="10" applyFont="1" applyAlignment="1">
      <alignment horizontal="left" vertical="center"/>
    </xf>
    <xf numFmtId="0" fontId="28" fillId="0" borderId="0" xfId="10" applyFont="1" applyAlignment="1">
      <alignment vertical="center"/>
    </xf>
    <xf numFmtId="0" fontId="13" fillId="0" borderId="0" xfId="10" applyFont="1" applyAlignment="1">
      <alignment vertical="center"/>
    </xf>
    <xf numFmtId="0" fontId="0" fillId="0" borderId="0" xfId="0" applyAlignment="1">
      <alignment horizontal="right"/>
    </xf>
    <xf numFmtId="0" fontId="10" fillId="2" borderId="3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166" fontId="8" fillId="0" borderId="0" xfId="1" applyNumberFormat="1" applyFont="1"/>
    <xf numFmtId="166" fontId="8" fillId="0" borderId="0" xfId="1" applyNumberFormat="1" applyFont="1" applyAlignment="1">
      <alignment horizontal="center" vertical="center"/>
    </xf>
    <xf numFmtId="166" fontId="8" fillId="0" borderId="9" xfId="1" applyNumberFormat="1" applyFont="1" applyBorder="1"/>
    <xf numFmtId="166" fontId="3" fillId="0" borderId="0" xfId="1" applyNumberFormat="1" applyFont="1" applyAlignment="1">
      <alignment horizontal="left"/>
    </xf>
    <xf numFmtId="166" fontId="0" fillId="0" borderId="0" xfId="1" applyNumberFormat="1" applyFont="1"/>
    <xf numFmtId="166" fontId="14" fillId="0" borderId="0" xfId="1" applyNumberFormat="1" applyFont="1" applyAlignment="1">
      <alignment vertical="center"/>
    </xf>
    <xf numFmtId="166" fontId="4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6" fontId="28" fillId="0" borderId="0" xfId="1" applyNumberFormat="1" applyFont="1" applyAlignment="1">
      <alignment vertical="center"/>
    </xf>
    <xf numFmtId="166" fontId="29" fillId="0" borderId="0" xfId="1" applyNumberFormat="1" applyFont="1" applyAlignment="1">
      <alignment horizontal="center" wrapText="1"/>
    </xf>
    <xf numFmtId="166" fontId="13" fillId="0" borderId="0" xfId="1" applyNumberFormat="1" applyFont="1" applyAlignment="1">
      <alignment vertical="center"/>
    </xf>
    <xf numFmtId="166" fontId="7" fillId="0" borderId="0" xfId="1" applyNumberFormat="1" applyFont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right"/>
    </xf>
    <xf numFmtId="166" fontId="10" fillId="0" borderId="0" xfId="1" applyNumberFormat="1" applyFont="1"/>
    <xf numFmtId="166" fontId="2" fillId="0" borderId="0" xfId="1" applyNumberFormat="1" applyFont="1" applyAlignment="1">
      <alignment horizontal="right"/>
    </xf>
    <xf numFmtId="0" fontId="32" fillId="0" borderId="0" xfId="12"/>
    <xf numFmtId="170" fontId="21" fillId="0" borderId="18" xfId="6" applyNumberFormat="1" applyFont="1" applyBorder="1"/>
    <xf numFmtId="170" fontId="21" fillId="0" borderId="0" xfId="6" applyNumberFormat="1" applyFont="1"/>
    <xf numFmtId="170" fontId="27" fillId="0" borderId="1" xfId="6" applyNumberFormat="1" applyFont="1" applyBorder="1"/>
    <xf numFmtId="170" fontId="21" fillId="0" borderId="0" xfId="6" applyNumberFormat="1" applyFont="1" applyAlignment="1">
      <alignment horizontal="center"/>
    </xf>
    <xf numFmtId="170" fontId="27" fillId="0" borderId="1" xfId="6" applyNumberFormat="1" applyFont="1" applyFill="1" applyBorder="1"/>
    <xf numFmtId="0" fontId="32" fillId="0" borderId="0" xfId="12" applyFill="1"/>
    <xf numFmtId="0" fontId="33" fillId="0" borderId="18" xfId="0" applyFont="1" applyBorder="1" applyAlignment="1">
      <alignment horizontal="left"/>
    </xf>
    <xf numFmtId="167" fontId="33" fillId="0" borderId="18" xfId="0" applyNumberFormat="1" applyFont="1" applyBorder="1" applyAlignment="1">
      <alignment horizontal="left"/>
    </xf>
    <xf numFmtId="167" fontId="21" fillId="0" borderId="19" xfId="0" applyNumberFormat="1" applyFont="1" applyBorder="1"/>
    <xf numFmtId="170" fontId="34" fillId="0" borderId="0" xfId="6" applyNumberFormat="1" applyFont="1"/>
    <xf numFmtId="0" fontId="0" fillId="0" borderId="0" xfId="0" applyAlignment="1">
      <alignment vertical="center" wrapText="1"/>
    </xf>
    <xf numFmtId="10" fontId="0" fillId="0" borderId="0" xfId="3" applyNumberFormat="1" applyFont="1"/>
    <xf numFmtId="170" fontId="0" fillId="0" borderId="0" xfId="6" applyNumberFormat="1" applyFont="1"/>
    <xf numFmtId="170" fontId="16" fillId="0" borderId="0" xfId="6" applyNumberFormat="1" applyFont="1"/>
    <xf numFmtId="170" fontId="0" fillId="0" borderId="0" xfId="6" applyNumberFormat="1" applyFont="1" applyAlignment="1">
      <alignment vertical="center"/>
    </xf>
    <xf numFmtId="9" fontId="21" fillId="0" borderId="0" xfId="3" applyFont="1" applyAlignment="1">
      <alignment horizontal="center"/>
    </xf>
    <xf numFmtId="0" fontId="27" fillId="6" borderId="0" xfId="0" applyFont="1" applyFill="1" applyAlignment="1">
      <alignment horizontal="center"/>
    </xf>
    <xf numFmtId="0" fontId="21" fillId="6" borderId="0" xfId="0" applyFont="1" applyFill="1"/>
    <xf numFmtId="0" fontId="21" fillId="6" borderId="0" xfId="0" applyFont="1" applyFill="1" applyAlignment="1">
      <alignment horizontal="center"/>
    </xf>
    <xf numFmtId="170" fontId="27" fillId="6" borderId="0" xfId="6" applyNumberFormat="1" applyFont="1" applyFill="1" applyBorder="1"/>
    <xf numFmtId="169" fontId="24" fillId="6" borderId="0" xfId="6" applyNumberFormat="1" applyFont="1" applyFill="1"/>
    <xf numFmtId="9" fontId="24" fillId="6" borderId="0" xfId="3" applyFont="1" applyFill="1" applyAlignment="1">
      <alignment horizontal="center"/>
    </xf>
    <xf numFmtId="0" fontId="27" fillId="0" borderId="19" xfId="0" applyFont="1" applyBorder="1" applyAlignment="1">
      <alignment horizontal="center"/>
    </xf>
    <xf numFmtId="0" fontId="21" fillId="0" borderId="19" xfId="0" applyFont="1" applyBorder="1"/>
    <xf numFmtId="170" fontId="21" fillId="0" borderId="19" xfId="6" applyNumberFormat="1" applyFont="1" applyBorder="1"/>
    <xf numFmtId="9" fontId="23" fillId="0" borderId="19" xfId="3" applyFont="1" applyBorder="1" applyAlignment="1">
      <alignment horizontal="center"/>
    </xf>
    <xf numFmtId="0" fontId="35" fillId="3" borderId="14" xfId="0" applyFont="1" applyFill="1" applyBorder="1"/>
    <xf numFmtId="0" fontId="27" fillId="3" borderId="14" xfId="0" applyFont="1" applyFill="1" applyBorder="1"/>
    <xf numFmtId="9" fontId="35" fillId="7" borderId="1" xfId="3" applyFont="1" applyFill="1" applyBorder="1" applyAlignment="1">
      <alignment horizontal="center" vertical="center"/>
    </xf>
    <xf numFmtId="167" fontId="35" fillId="7" borderId="1" xfId="0" applyNumberFormat="1" applyFont="1" applyFill="1" applyBorder="1" applyAlignment="1">
      <alignment horizontal="center" vertical="center"/>
    </xf>
    <xf numFmtId="170" fontId="21" fillId="0" borderId="20" xfId="6" applyNumberFormat="1" applyFont="1" applyBorder="1"/>
    <xf numFmtId="168" fontId="23" fillId="0" borderId="20" xfId="0" applyNumberFormat="1" applyFont="1" applyBorder="1" applyAlignment="1">
      <alignment horizontal="left"/>
    </xf>
    <xf numFmtId="1" fontId="23" fillId="0" borderId="20" xfId="0" applyNumberFormat="1" applyFont="1" applyBorder="1" applyAlignment="1">
      <alignment horizontal="center"/>
    </xf>
    <xf numFmtId="0" fontId="27" fillId="3" borderId="1" xfId="0" applyFont="1" applyFill="1" applyBorder="1"/>
    <xf numFmtId="0" fontId="27" fillId="3" borderId="2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/>
    </xf>
    <xf numFmtId="0" fontId="27" fillId="3" borderId="3" xfId="0" applyFont="1" applyFill="1" applyBorder="1"/>
    <xf numFmtId="170" fontId="27" fillId="3" borderId="3" xfId="6" applyNumberFormat="1" applyFont="1" applyFill="1" applyBorder="1"/>
    <xf numFmtId="169" fontId="35" fillId="3" borderId="3" xfId="6" applyNumberFormat="1" applyFont="1" applyFill="1" applyBorder="1"/>
    <xf numFmtId="9" fontId="35" fillId="3" borderId="3" xfId="3" applyFont="1" applyFill="1" applyBorder="1" applyAlignment="1">
      <alignment horizontal="center"/>
    </xf>
    <xf numFmtId="169" fontId="35" fillId="3" borderId="4" xfId="6" applyNumberFormat="1" applyFont="1" applyFill="1" applyBorder="1"/>
    <xf numFmtId="0" fontId="35" fillId="3" borderId="18" xfId="0" applyFont="1" applyFill="1" applyBorder="1"/>
    <xf numFmtId="0" fontId="27" fillId="3" borderId="18" xfId="0" applyFont="1" applyFill="1" applyBorder="1"/>
    <xf numFmtId="0" fontId="35" fillId="3" borderId="1" xfId="0" applyFont="1" applyFill="1" applyBorder="1"/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 indent="3"/>
    </xf>
    <xf numFmtId="0" fontId="10" fillId="2" borderId="6" xfId="0" applyFont="1" applyFill="1" applyBorder="1" applyAlignment="1">
      <alignment horizontal="center" vertical="center" wrapText="1"/>
    </xf>
    <xf numFmtId="41" fontId="10" fillId="2" borderId="6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0" fontId="8" fillId="0" borderId="4" xfId="0" applyNumberFormat="1" applyFont="1" applyBorder="1" applyAlignment="1">
      <alignment horizontal="right" vertical="center" wrapText="1"/>
    </xf>
    <xf numFmtId="41" fontId="19" fillId="0" borderId="1" xfId="2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 indent="1"/>
    </xf>
    <xf numFmtId="41" fontId="8" fillId="0" borderId="1" xfId="2" applyFont="1" applyBorder="1" applyAlignment="1">
      <alignment horizontal="center" vertical="center"/>
    </xf>
    <xf numFmtId="41" fontId="8" fillId="0" borderId="0" xfId="0" applyNumberFormat="1" applyFont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 indent="3"/>
    </xf>
    <xf numFmtId="0" fontId="10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41" fontId="10" fillId="2" borderId="3" xfId="2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left" vertical="center" wrapText="1" indent="1"/>
    </xf>
    <xf numFmtId="41" fontId="19" fillId="0" borderId="2" xfId="2" applyFont="1" applyBorder="1" applyAlignment="1">
      <alignment horizontal="center" vertical="center"/>
    </xf>
    <xf numFmtId="41" fontId="19" fillId="6" borderId="1" xfId="2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 indent="3"/>
    </xf>
    <xf numFmtId="0" fontId="8" fillId="2" borderId="3" xfId="0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166" fontId="8" fillId="0" borderId="0" xfId="1" applyNumberFormat="1" applyFont="1" applyAlignment="1">
      <alignment horizontal="left" vertical="center"/>
    </xf>
    <xf numFmtId="41" fontId="19" fillId="6" borderId="2" xfId="2" applyFont="1" applyFill="1" applyBorder="1" applyAlignment="1">
      <alignment horizontal="center" vertical="center"/>
    </xf>
    <xf numFmtId="6" fontId="0" fillId="0" borderId="0" xfId="0" applyNumberFormat="1"/>
    <xf numFmtId="8" fontId="0" fillId="0" borderId="0" xfId="0" applyNumberFormat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 wrapText="1"/>
    </xf>
    <xf numFmtId="41" fontId="19" fillId="6" borderId="1" xfId="2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 wrapText="1" indent="1"/>
    </xf>
    <xf numFmtId="0" fontId="8" fillId="6" borderId="0" xfId="0" applyFont="1" applyFill="1" applyAlignment="1">
      <alignment vertical="center"/>
    </xf>
    <xf numFmtId="0" fontId="0" fillId="6" borderId="0" xfId="0" applyFill="1"/>
    <xf numFmtId="8" fontId="0" fillId="6" borderId="0" xfId="0" applyNumberFormat="1" applyFill="1"/>
    <xf numFmtId="8" fontId="8" fillId="6" borderId="0" xfId="0" applyNumberFormat="1" applyFont="1" applyFill="1" applyAlignment="1">
      <alignment vertical="center"/>
    </xf>
    <xf numFmtId="41" fontId="19" fillId="0" borderId="1" xfId="2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 indent="1"/>
    </xf>
    <xf numFmtId="166" fontId="8" fillId="0" borderId="0" xfId="1" applyNumberFormat="1" applyFont="1" applyAlignment="1">
      <alignment vertical="center"/>
    </xf>
    <xf numFmtId="0" fontId="37" fillId="0" borderId="2" xfId="0" applyFont="1" applyBorder="1" applyAlignment="1">
      <alignment horizontal="left" vertical="center" indent="2"/>
    </xf>
    <xf numFmtId="0" fontId="8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indent="3"/>
    </xf>
    <xf numFmtId="0" fontId="8" fillId="2" borderId="3" xfId="0" applyFont="1" applyFill="1" applyBorder="1" applyAlignment="1">
      <alignment vertical="center"/>
    </xf>
    <xf numFmtId="41" fontId="10" fillId="2" borderId="3" xfId="2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 indent="1"/>
    </xf>
    <xf numFmtId="0" fontId="8" fillId="0" borderId="2" xfId="0" applyFont="1" applyBorder="1" applyAlignment="1">
      <alignment vertical="center"/>
    </xf>
    <xf numFmtId="0" fontId="10" fillId="0" borderId="3" xfId="0" applyFont="1" applyBorder="1" applyAlignment="1">
      <alignment horizontal="left" vertical="center" wrapText="1" indent="3"/>
    </xf>
    <xf numFmtId="0" fontId="10" fillId="0" borderId="3" xfId="0" applyFont="1" applyBorder="1" applyAlignment="1">
      <alignment horizontal="left" vertical="center" wrapText="1"/>
    </xf>
    <xf numFmtId="9" fontId="8" fillId="0" borderId="3" xfId="0" applyNumberFormat="1" applyFont="1" applyBorder="1" applyAlignment="1">
      <alignment horizontal="right" vertical="center" wrapText="1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left" vertical="center" wrapText="1" indent="1"/>
    </xf>
    <xf numFmtId="41" fontId="10" fillId="2" borderId="3" xfId="0" applyNumberFormat="1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41" fontId="10" fillId="0" borderId="3" xfId="0" applyNumberFormat="1" applyFont="1" applyBorder="1" applyAlignment="1">
      <alignment vertical="center"/>
    </xf>
    <xf numFmtId="41" fontId="38" fillId="0" borderId="1" xfId="2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3" applyNumberFormat="1" applyFont="1" applyAlignment="1">
      <alignment horizontal="center"/>
    </xf>
    <xf numFmtId="0" fontId="3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/>
    </xf>
    <xf numFmtId="0" fontId="4" fillId="6" borderId="0" xfId="0" applyFont="1" applyFill="1" applyAlignment="1">
      <alignment horizontal="left" vertical="center"/>
    </xf>
    <xf numFmtId="0" fontId="21" fillId="0" borderId="18" xfId="0" applyFont="1" applyBorder="1" applyAlignment="1">
      <alignment horizontal="left"/>
    </xf>
    <xf numFmtId="169" fontId="21" fillId="0" borderId="0" xfId="0" applyNumberFormat="1" applyFont="1"/>
    <xf numFmtId="171" fontId="0" fillId="0" borderId="0" xfId="0" applyNumberFormat="1"/>
    <xf numFmtId="166" fontId="8" fillId="0" borderId="0" xfId="1" applyNumberFormat="1" applyFont="1" applyBorder="1"/>
    <xf numFmtId="0" fontId="18" fillId="3" borderId="1" xfId="0" applyFont="1" applyFill="1" applyBorder="1" applyAlignment="1">
      <alignment horizontal="center" vertical="center"/>
    </xf>
    <xf numFmtId="166" fontId="18" fillId="3" borderId="1" xfId="1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/>
    </xf>
    <xf numFmtId="166" fontId="10" fillId="2" borderId="3" xfId="1" applyNumberFormat="1" applyFont="1" applyFill="1" applyBorder="1" applyAlignment="1">
      <alignment horizontal="center" vertical="center"/>
    </xf>
    <xf numFmtId="166" fontId="10" fillId="2" borderId="4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166" fontId="10" fillId="3" borderId="3" xfId="1" quotePrefix="1" applyNumberFormat="1" applyFont="1" applyFill="1" applyBorder="1" applyAlignment="1">
      <alignment horizontal="center" vertical="center"/>
    </xf>
    <xf numFmtId="166" fontId="10" fillId="3" borderId="4" xfId="1" quotePrefix="1" applyNumberFormat="1" applyFont="1" applyFill="1" applyBorder="1" applyAlignment="1">
      <alignment horizontal="center" vertical="center"/>
    </xf>
    <xf numFmtId="0" fontId="10" fillId="2" borderId="3" xfId="0" quotePrefix="1" applyFont="1" applyFill="1" applyBorder="1" applyAlignment="1">
      <alignment horizontal="left" vertical="center"/>
    </xf>
    <xf numFmtId="0" fontId="10" fillId="2" borderId="3" xfId="0" quotePrefix="1" applyFont="1" applyFill="1" applyBorder="1" applyAlignment="1">
      <alignment horizontal="right" vertical="center"/>
    </xf>
    <xf numFmtId="0" fontId="8" fillId="2" borderId="3" xfId="0" quotePrefix="1" applyFont="1" applyFill="1" applyBorder="1" applyAlignment="1">
      <alignment horizontal="center" vertical="center"/>
    </xf>
    <xf numFmtId="166" fontId="8" fillId="2" borderId="3" xfId="1" quotePrefix="1" applyNumberFormat="1" applyFont="1" applyFill="1" applyBorder="1" applyAlignment="1">
      <alignment horizontal="center" vertical="center"/>
    </xf>
    <xf numFmtId="166" fontId="8" fillId="2" borderId="4" xfId="1" quotePrefix="1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/>
    </xf>
    <xf numFmtId="0" fontId="39" fillId="2" borderId="3" xfId="0" applyFont="1" applyFill="1" applyBorder="1" applyAlignment="1">
      <alignment horizontal="right"/>
    </xf>
    <xf numFmtId="0" fontId="39" fillId="2" borderId="3" xfId="0" applyFont="1" applyFill="1" applyBorder="1" applyAlignment="1">
      <alignment horizontal="center"/>
    </xf>
    <xf numFmtId="166" fontId="8" fillId="2" borderId="3" xfId="1" applyNumberFormat="1" applyFont="1" applyFill="1" applyBorder="1"/>
    <xf numFmtId="166" fontId="8" fillId="2" borderId="4" xfId="1" applyNumberFormat="1" applyFont="1" applyFill="1" applyBorder="1"/>
    <xf numFmtId="0" fontId="18" fillId="3" borderId="3" xfId="0" applyFont="1" applyFill="1" applyBorder="1" applyAlignment="1">
      <alignment horizontal="left" indent="6"/>
    </xf>
    <xf numFmtId="0" fontId="10" fillId="0" borderId="24" xfId="0" applyFont="1" applyBorder="1" applyAlignment="1">
      <alignment vertical="center"/>
    </xf>
    <xf numFmtId="0" fontId="10" fillId="0" borderId="2" xfId="0" quotePrefix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18" xfId="0" applyFont="1" applyBorder="1" applyAlignment="1">
      <alignment horizontal="right" vertical="center"/>
    </xf>
    <xf numFmtId="0" fontId="8" fillId="0" borderId="18" xfId="0" quotePrefix="1" applyFont="1" applyBorder="1" applyAlignment="1">
      <alignment horizontal="center" vertical="center"/>
    </xf>
    <xf numFmtId="166" fontId="10" fillId="3" borderId="21" xfId="1" quotePrefix="1" applyNumberFormat="1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 indent="2"/>
    </xf>
    <xf numFmtId="0" fontId="8" fillId="0" borderId="18" xfId="0" applyFont="1" applyBorder="1" applyAlignment="1">
      <alignment horizontal="left" vertical="center" indent="2"/>
    </xf>
    <xf numFmtId="0" fontId="18" fillId="3" borderId="21" xfId="0" applyFont="1" applyFill="1" applyBorder="1" applyAlignment="1">
      <alignment horizontal="left" indent="6"/>
    </xf>
    <xf numFmtId="0" fontId="10" fillId="0" borderId="25" xfId="0" applyFont="1" applyBorder="1" applyAlignment="1">
      <alignment vertical="center"/>
    </xf>
    <xf numFmtId="0" fontId="10" fillId="0" borderId="25" xfId="0" quotePrefix="1" applyFont="1" applyBorder="1" applyAlignment="1">
      <alignment vertical="center"/>
    </xf>
    <xf numFmtId="0" fontId="19" fillId="0" borderId="17" xfId="0" applyFont="1" applyBorder="1" applyAlignment="1">
      <alignment horizontal="center"/>
    </xf>
    <xf numFmtId="0" fontId="10" fillId="0" borderId="9" xfId="0" applyFont="1" applyBorder="1" applyAlignment="1">
      <alignment vertical="center"/>
    </xf>
    <xf numFmtId="0" fontId="8" fillId="0" borderId="2" xfId="0" quotePrefix="1" applyFont="1" applyBorder="1" applyAlignment="1">
      <alignment horizontal="left" vertical="center" indent="2"/>
    </xf>
    <xf numFmtId="0" fontId="8" fillId="0" borderId="28" xfId="0" applyFont="1" applyBorder="1" applyAlignment="1">
      <alignment horizontal="left" vertical="center" indent="2"/>
    </xf>
    <xf numFmtId="0" fontId="8" fillId="0" borderId="4" xfId="0" quotePrefix="1" applyFont="1" applyBorder="1" applyAlignment="1">
      <alignment horizontal="right" vertical="center"/>
    </xf>
    <xf numFmtId="0" fontId="10" fillId="0" borderId="16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2" borderId="9" xfId="0" quotePrefix="1" applyFont="1" applyFill="1" applyBorder="1" applyAlignment="1">
      <alignment horizontal="left" vertical="center"/>
    </xf>
    <xf numFmtId="0" fontId="10" fillId="2" borderId="9" xfId="0" quotePrefix="1" applyFont="1" applyFill="1" applyBorder="1" applyAlignment="1">
      <alignment horizontal="right" vertical="center"/>
    </xf>
    <xf numFmtId="0" fontId="8" fillId="2" borderId="9" xfId="0" quotePrefix="1" applyFont="1" applyFill="1" applyBorder="1" applyAlignment="1">
      <alignment horizontal="center" vertical="center"/>
    </xf>
    <xf numFmtId="166" fontId="8" fillId="2" borderId="9" xfId="1" quotePrefix="1" applyNumberFormat="1" applyFont="1" applyFill="1" applyBorder="1" applyAlignment="1">
      <alignment horizontal="center" vertical="center"/>
    </xf>
    <xf numFmtId="166" fontId="8" fillId="2" borderId="10" xfId="1" quotePrefix="1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9" fontId="8" fillId="0" borderId="0" xfId="3" applyFont="1" applyFill="1" applyAlignment="1">
      <alignment horizontal="left" vertical="center"/>
    </xf>
    <xf numFmtId="9" fontId="8" fillId="0" borderId="0" xfId="3" applyFont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8" xfId="0" applyFont="1" applyBorder="1" applyAlignment="1">
      <alignment vertical="center" readingOrder="1"/>
    </xf>
    <xf numFmtId="0" fontId="40" fillId="0" borderId="18" xfId="0" applyFont="1" applyBorder="1" applyAlignment="1">
      <alignment horizontal="center" vertical="center" readingOrder="1"/>
    </xf>
    <xf numFmtId="0" fontId="40" fillId="0" borderId="1" xfId="0" applyFont="1" applyBorder="1" applyAlignment="1">
      <alignment horizontal="left" vertical="center"/>
    </xf>
    <xf numFmtId="0" fontId="40" fillId="0" borderId="29" xfId="0" applyFont="1" applyBorder="1" applyAlignment="1">
      <alignment vertical="center" readingOrder="1"/>
    </xf>
    <xf numFmtId="0" fontId="40" fillId="0" borderId="29" xfId="0" applyFont="1" applyBorder="1" applyAlignment="1">
      <alignment horizontal="center" vertical="center" readingOrder="1"/>
    </xf>
    <xf numFmtId="0" fontId="40" fillId="0" borderId="1" xfId="0" applyFont="1" applyBorder="1" applyAlignment="1">
      <alignment vertical="center"/>
    </xf>
    <xf numFmtId="0" fontId="40" fillId="0" borderId="29" xfId="0" applyFont="1" applyBorder="1" applyAlignment="1">
      <alignment horizontal="left" vertical="center" readingOrder="1"/>
    </xf>
    <xf numFmtId="0" fontId="40" fillId="0" borderId="18" xfId="0" applyFont="1" applyBorder="1" applyAlignment="1">
      <alignment horizontal="left" vertical="center"/>
    </xf>
    <xf numFmtId="0" fontId="40" fillId="0" borderId="31" xfId="0" applyFont="1" applyBorder="1" applyAlignment="1">
      <alignment vertical="center" readingOrder="1"/>
    </xf>
    <xf numFmtId="0" fontId="40" fillId="0" borderId="31" xfId="0" applyFont="1" applyBorder="1" applyAlignment="1">
      <alignment horizontal="center" vertical="center" readingOrder="1"/>
    </xf>
    <xf numFmtId="0" fontId="40" fillId="0" borderId="14" xfId="0" applyFont="1" applyBorder="1" applyAlignment="1">
      <alignment horizontal="left" vertical="center"/>
    </xf>
    <xf numFmtId="0" fontId="40" fillId="0" borderId="16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9" xfId="0" applyFont="1" applyBorder="1" applyAlignment="1">
      <alignment horizontal="left" vertical="center" readingOrder="1"/>
    </xf>
    <xf numFmtId="0" fontId="40" fillId="0" borderId="2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166" fontId="8" fillId="0" borderId="0" xfId="1" applyNumberFormat="1" applyFont="1" applyBorder="1" applyAlignment="1">
      <alignment horizontal="center" vertical="center"/>
    </xf>
    <xf numFmtId="166" fontId="8" fillId="0" borderId="27" xfId="1" applyNumberFormat="1" applyFont="1" applyBorder="1"/>
    <xf numFmtId="168" fontId="23" fillId="4" borderId="18" xfId="0" applyNumberFormat="1" applyFont="1" applyFill="1" applyBorder="1" applyAlignment="1">
      <alignment horizontal="left"/>
    </xf>
    <xf numFmtId="0" fontId="8" fillId="0" borderId="18" xfId="0" applyFont="1" applyBorder="1" applyAlignment="1">
      <alignment horizontal="left" vertical="center" wrapText="1" indent="1"/>
    </xf>
    <xf numFmtId="168" fontId="23" fillId="4" borderId="19" xfId="0" applyNumberFormat="1" applyFont="1" applyFill="1" applyBorder="1" applyAlignment="1">
      <alignment horizontal="left"/>
    </xf>
    <xf numFmtId="0" fontId="27" fillId="0" borderId="18" xfId="0" applyFont="1" applyBorder="1" applyAlignment="1">
      <alignment horizontal="left" wrapText="1"/>
    </xf>
    <xf numFmtId="0" fontId="8" fillId="0" borderId="4" xfId="0" applyFont="1" applyBorder="1" applyAlignment="1">
      <alignment horizontal="right" vertical="center"/>
    </xf>
    <xf numFmtId="0" fontId="10" fillId="0" borderId="21" xfId="0" applyFont="1" applyBorder="1" applyAlignment="1">
      <alignment vertical="center"/>
    </xf>
    <xf numFmtId="0" fontId="8" fillId="0" borderId="18" xfId="0" quotePrefix="1" applyFont="1" applyBorder="1" applyAlignment="1">
      <alignment horizontal="left" vertical="center" indent="2"/>
    </xf>
    <xf numFmtId="166" fontId="8" fillId="0" borderId="18" xfId="1" applyNumberFormat="1" applyFont="1" applyFill="1" applyBorder="1" applyAlignment="1">
      <alignment vertical="center"/>
    </xf>
    <xf numFmtId="0" fontId="8" fillId="0" borderId="20" xfId="0" quotePrefix="1" applyFont="1" applyBorder="1" applyAlignment="1">
      <alignment horizontal="left" vertical="center" indent="2"/>
    </xf>
    <xf numFmtId="0" fontId="8" fillId="0" borderId="20" xfId="0" applyFont="1" applyBorder="1" applyAlignment="1">
      <alignment horizontal="right" vertical="center"/>
    </xf>
    <xf numFmtId="166" fontId="8" fillId="0" borderId="20" xfId="1" applyNumberFormat="1" applyFont="1" applyFill="1" applyBorder="1" applyAlignment="1">
      <alignment vertical="center"/>
    </xf>
    <xf numFmtId="0" fontId="40" fillId="0" borderId="18" xfId="0" quotePrefix="1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1" fillId="0" borderId="45" xfId="1" applyNumberFormat="1" applyFont="1" applyBorder="1" applyAlignment="1">
      <alignment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26" xfId="0" applyFont="1" applyFill="1" applyBorder="1"/>
    <xf numFmtId="0" fontId="25" fillId="3" borderId="26" xfId="0" applyFont="1" applyFill="1" applyBorder="1"/>
    <xf numFmtId="0" fontId="25" fillId="3" borderId="26" xfId="0" applyFont="1" applyFill="1" applyBorder="1" applyAlignment="1">
      <alignment horizontal="center"/>
    </xf>
    <xf numFmtId="166" fontId="16" fillId="3" borderId="26" xfId="1" applyNumberFormat="1" applyFont="1" applyFill="1" applyBorder="1"/>
    <xf numFmtId="166" fontId="16" fillId="3" borderId="38" xfId="1" applyNumberFormat="1" applyFont="1" applyFill="1" applyBorder="1"/>
    <xf numFmtId="170" fontId="42" fillId="6" borderId="0" xfId="6" applyNumberFormat="1" applyFont="1" applyFill="1" applyBorder="1" applyAlignment="1"/>
    <xf numFmtId="165" fontId="42" fillId="6" borderId="0" xfId="3" applyNumberFormat="1" applyFont="1" applyFill="1" applyBorder="1" applyAlignment="1">
      <alignment vertical="center"/>
    </xf>
    <xf numFmtId="9" fontId="42" fillId="6" borderId="0" xfId="0" applyNumberFormat="1" applyFont="1" applyFill="1" applyAlignment="1">
      <alignment vertical="center"/>
    </xf>
    <xf numFmtId="170" fontId="42" fillId="6" borderId="0" xfId="6" applyNumberFormat="1" applyFont="1" applyFill="1" applyBorder="1" applyAlignment="1">
      <alignment horizontal="center"/>
    </xf>
    <xf numFmtId="170" fontId="41" fillId="9" borderId="18" xfId="6" applyNumberFormat="1" applyFont="1" applyFill="1" applyBorder="1" applyAlignment="1">
      <alignment horizontal="center" vertical="center"/>
    </xf>
    <xf numFmtId="170" fontId="42" fillId="0" borderId="18" xfId="6" applyNumberFormat="1" applyFont="1" applyBorder="1" applyAlignment="1"/>
    <xf numFmtId="170" fontId="42" fillId="0" borderId="18" xfId="6" applyNumberFormat="1" applyFont="1" applyBorder="1" applyAlignment="1">
      <alignment vertical="center"/>
    </xf>
    <xf numFmtId="10" fontId="42" fillId="0" borderId="18" xfId="0" applyNumberFormat="1" applyFont="1" applyBorder="1" applyAlignment="1">
      <alignment vertical="center"/>
    </xf>
    <xf numFmtId="170" fontId="42" fillId="0" borderId="0" xfId="6" applyNumberFormat="1" applyFont="1" applyBorder="1" applyAlignment="1">
      <alignment vertical="center"/>
    </xf>
    <xf numFmtId="170" fontId="42" fillId="8" borderId="18" xfId="6" applyNumberFormat="1" applyFont="1" applyFill="1" applyBorder="1" applyAlignment="1">
      <alignment vertical="center"/>
    </xf>
    <xf numFmtId="170" fontId="41" fillId="9" borderId="20" xfId="6" applyNumberFormat="1" applyFont="1" applyFill="1" applyBorder="1" applyAlignment="1">
      <alignment horizontal="center" vertical="center"/>
    </xf>
    <xf numFmtId="170" fontId="41" fillId="9" borderId="46" xfId="6" applyNumberFormat="1" applyFont="1" applyFill="1" applyBorder="1" applyAlignment="1">
      <alignment horizontal="center" vertical="center"/>
    </xf>
    <xf numFmtId="171" fontId="0" fillId="0" borderId="0" xfId="6" applyNumberFormat="1" applyFont="1"/>
    <xf numFmtId="0" fontId="8" fillId="0" borderId="2" xfId="0" quotePrefix="1" applyFont="1" applyBorder="1" applyAlignment="1">
      <alignment horizontal="center" vertical="center"/>
    </xf>
    <xf numFmtId="166" fontId="10" fillId="0" borderId="9" xfId="1" applyNumberFormat="1" applyFont="1" applyBorder="1" applyAlignment="1">
      <alignment horizontal="center" vertical="center"/>
    </xf>
    <xf numFmtId="166" fontId="10" fillId="0" borderId="10" xfId="1" applyNumberFormat="1" applyFont="1" applyBorder="1" applyAlignment="1">
      <alignment horizontal="center" vertical="center"/>
    </xf>
    <xf numFmtId="165" fontId="0" fillId="0" borderId="0" xfId="3" applyNumberFormat="1" applyFont="1" applyAlignment="1">
      <alignment horizontal="center"/>
    </xf>
    <xf numFmtId="166" fontId="10" fillId="3" borderId="35" xfId="1" quotePrefix="1" applyNumberFormat="1" applyFont="1" applyFill="1" applyBorder="1" applyAlignment="1">
      <alignment horizontal="center" vertical="center"/>
    </xf>
    <xf numFmtId="0" fontId="8" fillId="0" borderId="9" xfId="0" quotePrefix="1" applyFont="1" applyBorder="1" applyAlignment="1">
      <alignment horizontal="left" vertical="center"/>
    </xf>
    <xf numFmtId="0" fontId="8" fillId="0" borderId="20" xfId="0" quotePrefix="1" applyFont="1" applyBorder="1" applyAlignment="1">
      <alignment horizontal="right" vertical="center"/>
    </xf>
    <xf numFmtId="0" fontId="42" fillId="3" borderId="18" xfId="0" applyFont="1" applyFill="1" applyBorder="1" applyAlignment="1">
      <alignment horizontal="center" vertical="center" wrapText="1"/>
    </xf>
    <xf numFmtId="41" fontId="43" fillId="6" borderId="0" xfId="2" applyFont="1" applyFill="1" applyBorder="1" applyAlignment="1">
      <alignment horizontal="right" vertical="center"/>
    </xf>
    <xf numFmtId="171" fontId="43" fillId="6" borderId="0" xfId="2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171" fontId="0" fillId="0" borderId="0" xfId="0" applyNumberFormat="1" applyAlignment="1">
      <alignment wrapText="1"/>
    </xf>
    <xf numFmtId="171" fontId="42" fillId="3" borderId="18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171" fontId="0" fillId="0" borderId="18" xfId="0" applyNumberForma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171" fontId="0" fillId="0" borderId="18" xfId="0" applyNumberFormat="1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10" fillId="3" borderId="18" xfId="0" applyFont="1" applyFill="1" applyBorder="1" applyAlignment="1">
      <alignment horizontal="center" vertical="center" wrapText="1"/>
    </xf>
    <xf numFmtId="170" fontId="21" fillId="0" borderId="18" xfId="6" applyNumberFormat="1" applyFont="1" applyFill="1" applyBorder="1"/>
    <xf numFmtId="9" fontId="23" fillId="0" borderId="19" xfId="3" applyFont="1" applyFill="1" applyBorder="1" applyAlignment="1">
      <alignment horizontal="center"/>
    </xf>
    <xf numFmtId="169" fontId="35" fillId="3" borderId="49" xfId="6" applyNumberFormat="1" applyFont="1" applyFill="1" applyBorder="1"/>
    <xf numFmtId="166" fontId="42" fillId="0" borderId="3" xfId="1" applyNumberFormat="1" applyFont="1" applyBorder="1" applyAlignment="1"/>
    <xf numFmtId="170" fontId="44" fillId="9" borderId="4" xfId="6" applyNumberFormat="1" applyFont="1" applyFill="1" applyBorder="1" applyAlignment="1">
      <alignment horizontal="center" vertical="center"/>
    </xf>
    <xf numFmtId="166" fontId="42" fillId="0" borderId="2" xfId="1" applyNumberFormat="1" applyFont="1" applyBorder="1" applyAlignment="1"/>
    <xf numFmtId="166" fontId="42" fillId="0" borderId="4" xfId="1" applyNumberFormat="1" applyFont="1" applyBorder="1" applyAlignment="1"/>
    <xf numFmtId="0" fontId="27" fillId="0" borderId="1" xfId="0" applyFont="1" applyBorder="1"/>
    <xf numFmtId="167" fontId="27" fillId="0" borderId="16" xfId="0" applyNumberFormat="1" applyFont="1" applyBorder="1"/>
    <xf numFmtId="1" fontId="27" fillId="0" borderId="16" xfId="0" applyNumberFormat="1" applyFont="1" applyBorder="1" applyAlignment="1">
      <alignment horizontal="center"/>
    </xf>
    <xf numFmtId="170" fontId="44" fillId="9" borderId="1" xfId="6" applyNumberFormat="1" applyFont="1" applyFill="1" applyBorder="1" applyAlignment="1">
      <alignment horizontal="center" vertical="center"/>
    </xf>
    <xf numFmtId="166" fontId="42" fillId="0" borderId="1" xfId="1" applyNumberFormat="1" applyFont="1" applyBorder="1" applyAlignment="1"/>
    <xf numFmtId="166" fontId="41" fillId="9" borderId="1" xfId="1" applyNumberFormat="1" applyFont="1" applyFill="1" applyBorder="1" applyAlignment="1">
      <alignment horizontal="center" vertical="center"/>
    </xf>
    <xf numFmtId="166" fontId="41" fillId="9" borderId="4" xfId="1" applyNumberFormat="1" applyFont="1" applyFill="1" applyBorder="1" applyAlignment="1">
      <alignment horizontal="center" vertical="center"/>
    </xf>
    <xf numFmtId="0" fontId="8" fillId="0" borderId="18" xfId="0" quotePrefix="1" applyFont="1" applyBorder="1" applyAlignment="1">
      <alignment horizontal="right" vertical="center"/>
    </xf>
    <xf numFmtId="166" fontId="44" fillId="10" borderId="3" xfId="1" quotePrefix="1" applyNumberFormat="1" applyFont="1" applyFill="1" applyBorder="1" applyAlignment="1">
      <alignment horizontal="center" vertical="center"/>
    </xf>
    <xf numFmtId="0" fontId="44" fillId="10" borderId="3" xfId="0" applyFont="1" applyFill="1" applyBorder="1" applyAlignment="1">
      <alignment horizontal="left" indent="6"/>
    </xf>
    <xf numFmtId="0" fontId="8" fillId="0" borderId="14" xfId="0" quotePrefix="1" applyFont="1" applyBorder="1" applyAlignment="1">
      <alignment horizontal="left" vertical="center" wrapText="1"/>
    </xf>
    <xf numFmtId="0" fontId="8" fillId="0" borderId="10" xfId="0" quotePrefix="1" applyFont="1" applyBorder="1" applyAlignment="1">
      <alignment horizontal="left" vertical="center" wrapText="1"/>
    </xf>
    <xf numFmtId="0" fontId="8" fillId="0" borderId="27" xfId="0" quotePrefix="1" applyFont="1" applyBorder="1" applyAlignment="1">
      <alignment horizontal="left" vertical="center" wrapText="1"/>
    </xf>
    <xf numFmtId="0" fontId="8" fillId="0" borderId="18" xfId="0" quotePrefix="1" applyFont="1" applyBorder="1" applyAlignment="1">
      <alignment horizontal="left" vertical="center" wrapText="1"/>
    </xf>
    <xf numFmtId="0" fontId="8" fillId="0" borderId="20" xfId="0" quotePrefix="1" applyFont="1" applyBorder="1" applyAlignment="1">
      <alignment horizontal="center" vertical="center"/>
    </xf>
    <xf numFmtId="0" fontId="47" fillId="0" borderId="0" xfId="0" applyFont="1"/>
    <xf numFmtId="169" fontId="47" fillId="0" borderId="0" xfId="0" applyNumberFormat="1" applyFont="1"/>
    <xf numFmtId="0" fontId="8" fillId="0" borderId="52" xfId="0" applyFont="1" applyBorder="1" applyAlignment="1">
      <alignment horizontal="center" vertical="center"/>
    </xf>
    <xf numFmtId="0" fontId="8" fillId="0" borderId="0" xfId="0" quotePrefix="1" applyFont="1" applyAlignment="1">
      <alignment horizontal="left" vertical="center" indent="2"/>
    </xf>
    <xf numFmtId="166" fontId="8" fillId="0" borderId="53" xfId="1" applyNumberFormat="1" applyFont="1" applyFill="1" applyBorder="1" applyAlignment="1">
      <alignment vertical="center"/>
    </xf>
    <xf numFmtId="166" fontId="10" fillId="3" borderId="22" xfId="1" quotePrefix="1" applyNumberFormat="1" applyFont="1" applyFill="1" applyBorder="1" applyAlignment="1">
      <alignment horizontal="center" vertical="center"/>
    </xf>
    <xf numFmtId="166" fontId="8" fillId="0" borderId="39" xfId="1" applyNumberFormat="1" applyFont="1" applyFill="1" applyBorder="1" applyAlignment="1">
      <alignment vertical="center"/>
    </xf>
    <xf numFmtId="0" fontId="8" fillId="3" borderId="57" xfId="0" applyFont="1" applyFill="1" applyBorder="1" applyAlignment="1">
      <alignment horizontal="center" vertical="center"/>
    </xf>
    <xf numFmtId="166" fontId="10" fillId="3" borderId="49" xfId="1" quotePrefix="1" applyNumberFormat="1" applyFont="1" applyFill="1" applyBorder="1" applyAlignment="1">
      <alignment horizontal="center" vertical="center"/>
    </xf>
    <xf numFmtId="0" fontId="46" fillId="10" borderId="2" xfId="0" applyFont="1" applyFill="1" applyBorder="1" applyAlignment="1">
      <alignment horizontal="center" vertical="center"/>
    </xf>
    <xf numFmtId="166" fontId="44" fillId="10" borderId="4" xfId="1" quotePrefix="1" applyNumberFormat="1" applyFont="1" applyFill="1" applyBorder="1" applyAlignment="1">
      <alignment horizontal="center" vertical="center"/>
    </xf>
    <xf numFmtId="168" fontId="21" fillId="0" borderId="0" xfId="0" applyNumberFormat="1" applyFont="1"/>
    <xf numFmtId="0" fontId="14" fillId="0" borderId="0" xfId="0" applyFont="1" applyAlignment="1">
      <alignment vertical="center"/>
    </xf>
    <xf numFmtId="166" fontId="3" fillId="0" borderId="0" xfId="1" applyNumberFormat="1" applyFont="1" applyAlignment="1">
      <alignment vertical="center"/>
    </xf>
    <xf numFmtId="166" fontId="0" fillId="0" borderId="0" xfId="0" applyNumberFormat="1"/>
    <xf numFmtId="170" fontId="0" fillId="0" borderId="0" xfId="0" applyNumberFormat="1"/>
    <xf numFmtId="0" fontId="2" fillId="0" borderId="0" xfId="20" applyFont="1" applyAlignment="1">
      <alignment vertical="center"/>
    </xf>
    <xf numFmtId="0" fontId="3" fillId="0" borderId="0" xfId="20" applyFont="1" applyAlignment="1">
      <alignment vertical="center"/>
    </xf>
    <xf numFmtId="42" fontId="3" fillId="0" borderId="0" xfId="20" applyNumberFormat="1" applyFont="1" applyAlignment="1">
      <alignment vertical="center"/>
    </xf>
    <xf numFmtId="0" fontId="36" fillId="0" borderId="0" xfId="11" applyFont="1" applyAlignment="1">
      <alignment vertical="center"/>
    </xf>
    <xf numFmtId="0" fontId="15" fillId="0" borderId="0" xfId="20" applyFont="1" applyAlignment="1">
      <alignment vertical="center"/>
    </xf>
    <xf numFmtId="0" fontId="14" fillId="3" borderId="58" xfId="20" applyFont="1" applyFill="1" applyBorder="1" applyAlignment="1">
      <alignment horizontal="center" vertical="center"/>
    </xf>
    <xf numFmtId="42" fontId="14" fillId="3" borderId="58" xfId="20" applyNumberFormat="1" applyFont="1" applyFill="1" applyBorder="1" applyAlignment="1">
      <alignment horizontal="center" vertical="center"/>
    </xf>
    <xf numFmtId="0" fontId="15" fillId="0" borderId="16" xfId="20" applyFont="1" applyBorder="1" applyAlignment="1">
      <alignment horizontal="center" vertical="center"/>
    </xf>
    <xf numFmtId="0" fontId="15" fillId="0" borderId="1" xfId="20" quotePrefix="1" applyFont="1" applyBorder="1" applyAlignment="1">
      <alignment vertical="center"/>
    </xf>
    <xf numFmtId="0" fontId="15" fillId="6" borderId="2" xfId="20" quotePrefix="1" applyFont="1" applyFill="1" applyBorder="1" applyAlignment="1">
      <alignment horizontal="center" vertical="center"/>
    </xf>
    <xf numFmtId="0" fontId="15" fillId="6" borderId="4" xfId="20" applyFont="1" applyFill="1" applyBorder="1" applyAlignment="1">
      <alignment horizontal="center" vertical="center"/>
    </xf>
    <xf numFmtId="166" fontId="15" fillId="0" borderId="1" xfId="1" applyNumberFormat="1" applyFont="1" applyFill="1" applyBorder="1" applyAlignment="1">
      <alignment vertical="center"/>
    </xf>
    <xf numFmtId="166" fontId="15" fillId="0" borderId="1" xfId="1" applyNumberFormat="1" applyFont="1" applyBorder="1" applyAlignment="1">
      <alignment horizontal="center" vertical="center"/>
    </xf>
    <xf numFmtId="0" fontId="15" fillId="6" borderId="1" xfId="20" applyFont="1" applyFill="1" applyBorder="1" applyAlignment="1">
      <alignment horizontal="center" vertical="center"/>
    </xf>
    <xf numFmtId="166" fontId="15" fillId="6" borderId="1" xfId="1" applyNumberFormat="1" applyFont="1" applyFill="1" applyBorder="1" applyAlignment="1">
      <alignment vertical="center"/>
    </xf>
    <xf numFmtId="0" fontId="15" fillId="0" borderId="2" xfId="20" quotePrefix="1" applyFont="1" applyBorder="1" applyAlignment="1">
      <alignment horizontal="center" vertical="center"/>
    </xf>
    <xf numFmtId="166" fontId="15" fillId="0" borderId="16" xfId="1" applyNumberFormat="1" applyFont="1" applyFill="1" applyBorder="1" applyAlignment="1">
      <alignment vertical="center"/>
    </xf>
    <xf numFmtId="0" fontId="15" fillId="0" borderId="17" xfId="7" applyFont="1" applyBorder="1" applyAlignment="1">
      <alignment horizontal="center" vertical="center"/>
    </xf>
    <xf numFmtId="0" fontId="15" fillId="0" borderId="22" xfId="7" applyFont="1" applyBorder="1" applyAlignment="1">
      <alignment horizontal="center" vertical="center"/>
    </xf>
    <xf numFmtId="166" fontId="3" fillId="0" borderId="16" xfId="1" applyNumberFormat="1" applyFont="1" applyFill="1" applyBorder="1" applyAlignment="1">
      <alignment vertical="center"/>
    </xf>
    <xf numFmtId="0" fontId="15" fillId="0" borderId="1" xfId="20" applyFont="1" applyBorder="1" applyAlignment="1">
      <alignment horizontal="center" vertical="center"/>
    </xf>
    <xf numFmtId="166" fontId="15" fillId="0" borderId="1" xfId="1" applyNumberFormat="1" applyFont="1" applyBorder="1" applyAlignment="1">
      <alignment vertical="center"/>
    </xf>
    <xf numFmtId="0" fontId="15" fillId="0" borderId="17" xfId="20" quotePrefix="1" applyFont="1" applyBorder="1" applyAlignment="1">
      <alignment horizontal="center" vertical="center"/>
    </xf>
    <xf numFmtId="0" fontId="15" fillId="6" borderId="22" xfId="20" applyFont="1" applyFill="1" applyBorder="1" applyAlignment="1">
      <alignment horizontal="center" vertical="center"/>
    </xf>
    <xf numFmtId="42" fontId="14" fillId="3" borderId="4" xfId="18" applyNumberFormat="1" applyFont="1" applyFill="1" applyBorder="1" applyAlignment="1">
      <alignment vertical="center"/>
    </xf>
    <xf numFmtId="0" fontId="14" fillId="0" borderId="0" xfId="20" applyFont="1" applyAlignment="1">
      <alignment vertical="center"/>
    </xf>
    <xf numFmtId="42" fontId="15" fillId="0" borderId="0" xfId="20" applyNumberFormat="1" applyFont="1" applyAlignment="1">
      <alignment vertical="center"/>
    </xf>
    <xf numFmtId="42" fontId="14" fillId="0" borderId="0" xfId="20" applyNumberFormat="1" applyFont="1" applyAlignment="1">
      <alignment vertical="center"/>
    </xf>
    <xf numFmtId="3" fontId="15" fillId="0" borderId="0" xfId="20" applyNumberFormat="1" applyFont="1" applyAlignment="1">
      <alignment vertical="center"/>
    </xf>
    <xf numFmtId="42" fontId="15" fillId="0" borderId="0" xfId="20" quotePrefix="1" applyNumberFormat="1" applyFont="1" applyAlignment="1">
      <alignment vertical="center"/>
    </xf>
    <xf numFmtId="42" fontId="8" fillId="0" borderId="0" xfId="0" applyNumberFormat="1" applyFont="1"/>
    <xf numFmtId="0" fontId="15" fillId="0" borderId="3" xfId="20" applyFont="1" applyBorder="1" applyAlignment="1">
      <alignment vertical="center"/>
    </xf>
    <xf numFmtId="0" fontId="15" fillId="0" borderId="3" xfId="20" applyFont="1" applyBorder="1" applyAlignment="1">
      <alignment horizontal="center" vertical="center"/>
    </xf>
    <xf numFmtId="42" fontId="15" fillId="0" borderId="3" xfId="20" applyNumberFormat="1" applyFont="1" applyBorder="1" applyAlignment="1">
      <alignment horizontal="center" vertical="center"/>
    </xf>
    <xf numFmtId="42" fontId="15" fillId="0" borderId="3" xfId="20" applyNumberFormat="1" applyFont="1" applyBorder="1" applyAlignment="1">
      <alignment vertical="center"/>
    </xf>
    <xf numFmtId="0" fontId="3" fillId="0" borderId="0" xfId="1" applyNumberFormat="1" applyFont="1" applyAlignment="1">
      <alignment horizontal="center" vertical="center"/>
    </xf>
    <xf numFmtId="0" fontId="15" fillId="0" borderId="3" xfId="1" applyNumberFormat="1" applyFont="1" applyBorder="1" applyAlignment="1">
      <alignment horizontal="center" vertical="center"/>
    </xf>
    <xf numFmtId="0" fontId="15" fillId="6" borderId="2" xfId="1" quotePrefix="1" applyNumberFormat="1" applyFont="1" applyFill="1" applyBorder="1" applyAlignment="1">
      <alignment horizontal="center" vertical="center"/>
    </xf>
    <xf numFmtId="0" fontId="15" fillId="0" borderId="2" xfId="1" quotePrefix="1" applyNumberFormat="1" applyFont="1" applyBorder="1" applyAlignment="1">
      <alignment horizontal="center" vertical="center"/>
    </xf>
    <xf numFmtId="0" fontId="15" fillId="0" borderId="17" xfId="1" applyNumberFormat="1" applyFont="1" applyBorder="1" applyAlignment="1">
      <alignment horizontal="center" vertical="center"/>
    </xf>
    <xf numFmtId="0" fontId="15" fillId="0" borderId="17" xfId="1" quotePrefix="1" applyNumberFormat="1" applyFont="1" applyBorder="1" applyAlignment="1">
      <alignment horizontal="center" vertical="center"/>
    </xf>
    <xf numFmtId="0" fontId="15" fillId="0" borderId="0" xfId="1" applyNumberFormat="1" applyFont="1" applyAlignment="1">
      <alignment horizontal="center" vertical="center"/>
    </xf>
    <xf numFmtId="0" fontId="8" fillId="0" borderId="0" xfId="1" applyNumberFormat="1" applyFont="1" applyAlignment="1">
      <alignment horizontal="center"/>
    </xf>
    <xf numFmtId="0" fontId="8" fillId="0" borderId="24" xfId="0" applyFont="1" applyBorder="1"/>
    <xf numFmtId="42" fontId="8" fillId="0" borderId="24" xfId="0" applyNumberFormat="1" applyFont="1" applyBorder="1"/>
    <xf numFmtId="166" fontId="8" fillId="0" borderId="27" xfId="1" applyNumberFormat="1" applyFont="1" applyBorder="1" applyAlignment="1">
      <alignment horizontal="center" vertical="top"/>
    </xf>
    <xf numFmtId="166" fontId="8" fillId="0" borderId="27" xfId="1" applyNumberFormat="1" applyFont="1" applyBorder="1" applyAlignment="1">
      <alignment vertical="top"/>
    </xf>
    <xf numFmtId="166" fontId="8" fillId="0" borderId="22" xfId="1" applyNumberFormat="1" applyFont="1" applyBorder="1" applyAlignment="1">
      <alignment vertical="top"/>
    </xf>
    <xf numFmtId="166" fontId="8" fillId="0" borderId="23" xfId="1" applyNumberFormat="1" applyFont="1" applyBorder="1" applyAlignment="1">
      <alignment vertical="top"/>
    </xf>
    <xf numFmtId="166" fontId="8" fillId="0" borderId="19" xfId="1" applyNumberFormat="1" applyFont="1" applyBorder="1" applyAlignment="1">
      <alignment vertical="top"/>
    </xf>
    <xf numFmtId="0" fontId="8" fillId="0" borderId="60" xfId="0" applyFont="1" applyBorder="1" applyAlignment="1">
      <alignment horizontal="center" vertical="center"/>
    </xf>
    <xf numFmtId="0" fontId="10" fillId="0" borderId="21" xfId="0" applyFont="1" applyBorder="1" applyAlignment="1">
      <alignment horizontal="right" vertical="center"/>
    </xf>
    <xf numFmtId="0" fontId="10" fillId="0" borderId="2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6" fontId="8" fillId="0" borderId="51" xfId="1" applyNumberFormat="1" applyFont="1" applyBorder="1" applyAlignment="1">
      <alignment vertical="top"/>
    </xf>
    <xf numFmtId="166" fontId="8" fillId="0" borderId="20" xfId="1" applyNumberFormat="1" applyFont="1" applyBorder="1" applyAlignment="1">
      <alignment horizontal="center" vertical="top"/>
    </xf>
    <xf numFmtId="166" fontId="8" fillId="0" borderId="59" xfId="1" applyNumberFormat="1" applyFont="1" applyBorder="1" applyAlignment="1">
      <alignment horizontal="center" vertical="top"/>
    </xf>
    <xf numFmtId="166" fontId="8" fillId="0" borderId="23" xfId="1" applyNumberFormat="1" applyFont="1" applyBorder="1" applyAlignment="1">
      <alignment horizontal="center" vertical="top"/>
    </xf>
    <xf numFmtId="10" fontId="8" fillId="0" borderId="0" xfId="3" applyNumberFormat="1" applyFont="1" applyAlignment="1">
      <alignment horizontal="left" vertical="center"/>
    </xf>
    <xf numFmtId="0" fontId="18" fillId="0" borderId="61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18" fillId="0" borderId="57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43" fontId="0" fillId="0" borderId="0" xfId="1" applyFont="1"/>
    <xf numFmtId="0" fontId="3" fillId="0" borderId="0" xfId="0" applyFont="1" applyAlignment="1">
      <alignment horizontal="left" vertical="center" wrapText="1"/>
    </xf>
    <xf numFmtId="0" fontId="44" fillId="10" borderId="2" xfId="0" applyFont="1" applyFill="1" applyBorder="1" applyAlignment="1">
      <alignment horizontal="left" indent="6"/>
    </xf>
    <xf numFmtId="0" fontId="44" fillId="10" borderId="3" xfId="0" applyFont="1" applyFill="1" applyBorder="1" applyAlignment="1">
      <alignment horizontal="left" indent="6"/>
    </xf>
    <xf numFmtId="166" fontId="8" fillId="0" borderId="50" xfId="1" applyNumberFormat="1" applyFont="1" applyFill="1" applyBorder="1" applyAlignment="1">
      <alignment horizontal="center" vertical="center"/>
    </xf>
    <xf numFmtId="166" fontId="8" fillId="0" borderId="51" xfId="1" applyNumberFormat="1" applyFont="1" applyFill="1" applyBorder="1" applyAlignment="1">
      <alignment horizontal="center" vertical="center"/>
    </xf>
    <xf numFmtId="166" fontId="8" fillId="0" borderId="56" xfId="1" applyNumberFormat="1" applyFont="1" applyFill="1" applyBorder="1" applyAlignment="1">
      <alignment horizontal="center" vertical="center"/>
    </xf>
    <xf numFmtId="166" fontId="8" fillId="0" borderId="42" xfId="1" applyNumberFormat="1" applyFont="1" applyFill="1" applyBorder="1" applyAlignment="1">
      <alignment horizontal="center" vertical="center"/>
    </xf>
    <xf numFmtId="166" fontId="8" fillId="0" borderId="20" xfId="0" quotePrefix="1" applyNumberFormat="1" applyFont="1" applyBorder="1" applyAlignment="1">
      <alignment horizontal="center" vertical="center"/>
    </xf>
    <xf numFmtId="0" fontId="8" fillId="0" borderId="23" xfId="0" quotePrefix="1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/>
    </xf>
    <xf numFmtId="166" fontId="8" fillId="0" borderId="39" xfId="0" quotePrefix="1" applyNumberFormat="1" applyFont="1" applyBorder="1" applyAlignment="1">
      <alignment horizontal="center" vertical="center"/>
    </xf>
    <xf numFmtId="0" fontId="8" fillId="0" borderId="54" xfId="0" quotePrefix="1" applyFont="1" applyBorder="1" applyAlignment="1">
      <alignment horizontal="center" vertical="center"/>
    </xf>
    <xf numFmtId="0" fontId="8" fillId="0" borderId="55" xfId="0" quotePrefix="1" applyFont="1" applyBorder="1" applyAlignment="1">
      <alignment horizontal="center" vertical="center"/>
    </xf>
    <xf numFmtId="166" fontId="44" fillId="10" borderId="2" xfId="1" applyNumberFormat="1" applyFont="1" applyFill="1" applyBorder="1" applyAlignment="1">
      <alignment horizontal="center"/>
    </xf>
    <xf numFmtId="166" fontId="44" fillId="10" borderId="3" xfId="1" applyNumberFormat="1" applyFont="1" applyFill="1" applyBorder="1" applyAlignment="1">
      <alignment horizontal="center"/>
    </xf>
    <xf numFmtId="166" fontId="44" fillId="10" borderId="4" xfId="1" applyNumberFormat="1" applyFont="1" applyFill="1" applyBorder="1" applyAlignment="1">
      <alignment horizontal="center"/>
    </xf>
    <xf numFmtId="0" fontId="10" fillId="3" borderId="21" xfId="0" quotePrefix="1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/>
    </xf>
    <xf numFmtId="0" fontId="10" fillId="3" borderId="3" xfId="0" quotePrefix="1" applyFont="1" applyFill="1" applyBorder="1" applyAlignment="1">
      <alignment horizontal="center" vertical="center"/>
    </xf>
    <xf numFmtId="0" fontId="8" fillId="0" borderId="10" xfId="0" quotePrefix="1" applyFont="1" applyBorder="1" applyAlignment="1">
      <alignment horizontal="left" vertical="center" wrapText="1"/>
    </xf>
    <xf numFmtId="0" fontId="8" fillId="0" borderId="27" xfId="0" quotePrefix="1" applyFont="1" applyBorder="1" applyAlignment="1">
      <alignment horizontal="left" vertical="center" wrapText="1"/>
    </xf>
    <xf numFmtId="0" fontId="8" fillId="0" borderId="22" xfId="0" quotePrefix="1" applyFont="1" applyBorder="1" applyAlignment="1">
      <alignment horizontal="left" vertical="center" wrapText="1"/>
    </xf>
    <xf numFmtId="0" fontId="8" fillId="0" borderId="18" xfId="0" quotePrefix="1" applyFont="1" applyBorder="1" applyAlignment="1">
      <alignment horizontal="left" vertical="center" wrapText="1"/>
    </xf>
    <xf numFmtId="0" fontId="8" fillId="0" borderId="14" xfId="0" quotePrefix="1" applyFont="1" applyBorder="1" applyAlignment="1">
      <alignment horizontal="left" vertical="center" wrapText="1"/>
    </xf>
    <xf numFmtId="0" fontId="8" fillId="0" borderId="16" xfId="0" quotePrefix="1" applyFont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indent="6"/>
    </xf>
    <xf numFmtId="0" fontId="18" fillId="3" borderId="3" xfId="0" applyFont="1" applyFill="1" applyBorder="1" applyAlignment="1">
      <alignment horizontal="left" indent="6"/>
    </xf>
    <xf numFmtId="0" fontId="31" fillId="1" borderId="2" xfId="0" applyFont="1" applyFill="1" applyBorder="1" applyAlignment="1">
      <alignment horizontal="center" vertical="center"/>
    </xf>
    <xf numFmtId="0" fontId="31" fillId="1" borderId="3" xfId="0" applyFont="1" applyFill="1" applyBorder="1" applyAlignment="1">
      <alignment horizontal="center" vertical="center"/>
    </xf>
    <xf numFmtId="0" fontId="14" fillId="1" borderId="3" xfId="0" applyFont="1" applyFill="1" applyBorder="1" applyAlignment="1">
      <alignment horizontal="center" vertical="center"/>
    </xf>
    <xf numFmtId="0" fontId="31" fillId="1" borderId="4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166" fontId="18" fillId="0" borderId="34" xfId="1" applyNumberFormat="1" applyFont="1" applyBorder="1" applyAlignment="1">
      <alignment horizontal="center"/>
    </xf>
    <xf numFmtId="166" fontId="18" fillId="0" borderId="35" xfId="1" applyNumberFormat="1" applyFont="1" applyBorder="1" applyAlignment="1">
      <alignment horizontal="center"/>
    </xf>
    <xf numFmtId="166" fontId="18" fillId="0" borderId="36" xfId="1" applyNumberFormat="1" applyFont="1" applyBorder="1" applyAlignment="1">
      <alignment horizontal="center"/>
    </xf>
    <xf numFmtId="166" fontId="18" fillId="0" borderId="34" xfId="1" applyNumberFormat="1" applyFont="1" applyFill="1" applyBorder="1" applyAlignment="1">
      <alignment horizontal="center"/>
    </xf>
    <xf numFmtId="166" fontId="18" fillId="0" borderId="35" xfId="1" applyNumberFormat="1" applyFont="1" applyFill="1" applyBorder="1" applyAlignment="1">
      <alignment horizontal="center"/>
    </xf>
    <xf numFmtId="166" fontId="18" fillId="0" borderId="36" xfId="1" applyNumberFormat="1" applyFont="1" applyFill="1" applyBorder="1" applyAlignment="1">
      <alignment horizontal="center"/>
    </xf>
    <xf numFmtId="166" fontId="18" fillId="3" borderId="17" xfId="1" applyNumberFormat="1" applyFont="1" applyFill="1" applyBorder="1" applyAlignment="1">
      <alignment horizontal="center"/>
    </xf>
    <xf numFmtId="166" fontId="18" fillId="3" borderId="21" xfId="1" applyNumberFormat="1" applyFont="1" applyFill="1" applyBorder="1" applyAlignment="1">
      <alignment horizontal="center"/>
    </xf>
    <xf numFmtId="166" fontId="18" fillId="3" borderId="22" xfId="1" applyNumberFormat="1" applyFont="1" applyFill="1" applyBorder="1" applyAlignment="1">
      <alignment horizontal="center"/>
    </xf>
    <xf numFmtId="0" fontId="8" fillId="0" borderId="7" xfId="0" quotePrefix="1" applyFont="1" applyBorder="1" applyAlignment="1">
      <alignment horizontal="left" vertical="center" wrapText="1"/>
    </xf>
    <xf numFmtId="166" fontId="18" fillId="3" borderId="2" xfId="1" applyNumberFormat="1" applyFont="1" applyFill="1" applyBorder="1" applyAlignment="1">
      <alignment horizontal="center"/>
    </xf>
    <xf numFmtId="166" fontId="18" fillId="3" borderId="3" xfId="1" applyNumberFormat="1" applyFont="1" applyFill="1" applyBorder="1" applyAlignment="1">
      <alignment horizontal="center"/>
    </xf>
    <xf numFmtId="166" fontId="18" fillId="3" borderId="4" xfId="1" applyNumberFormat="1" applyFont="1" applyFill="1" applyBorder="1" applyAlignment="1">
      <alignment horizontal="center"/>
    </xf>
    <xf numFmtId="0" fontId="8" fillId="0" borderId="14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8" fillId="0" borderId="47" xfId="0" quotePrefix="1" applyFont="1" applyBorder="1" applyAlignment="1">
      <alignment horizontal="center" vertical="center"/>
    </xf>
    <xf numFmtId="0" fontId="8" fillId="0" borderId="48" xfId="0" quotePrefix="1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center" vertical="center"/>
    </xf>
    <xf numFmtId="0" fontId="10" fillId="3" borderId="35" xfId="0" quotePrefix="1" applyFont="1" applyFill="1" applyBorder="1" applyAlignment="1">
      <alignment horizontal="center" vertical="center"/>
    </xf>
    <xf numFmtId="0" fontId="44" fillId="10" borderId="3" xfId="0" quotePrefix="1" applyFont="1" applyFill="1" applyBorder="1" applyAlignment="1">
      <alignment horizontal="center" vertical="center"/>
    </xf>
    <xf numFmtId="0" fontId="8" fillId="0" borderId="20" xfId="0" quotePrefix="1" applyFont="1" applyBorder="1" applyAlignment="1">
      <alignment horizontal="left" vertical="center" wrapText="1"/>
    </xf>
    <xf numFmtId="0" fontId="8" fillId="0" borderId="23" xfId="0" quotePrefix="1" applyFont="1" applyBorder="1" applyAlignment="1">
      <alignment horizontal="left" vertical="center" wrapText="1"/>
    </xf>
    <xf numFmtId="0" fontId="40" fillId="0" borderId="20" xfId="0" quotePrefix="1" applyFont="1" applyBorder="1" applyAlignment="1">
      <alignment horizontal="left" vertical="center" wrapText="1"/>
    </xf>
    <xf numFmtId="0" fontId="40" fillId="0" borderId="23" xfId="0" quotePrefix="1" applyFont="1" applyBorder="1" applyAlignment="1">
      <alignment horizontal="left" vertical="center" wrapText="1"/>
    </xf>
    <xf numFmtId="0" fontId="40" fillId="0" borderId="19" xfId="0" quotePrefix="1" applyFont="1" applyBorder="1" applyAlignment="1">
      <alignment horizontal="left" vertical="center" wrapText="1"/>
    </xf>
    <xf numFmtId="0" fontId="45" fillId="0" borderId="20" xfId="0" quotePrefix="1" applyFont="1" applyBorder="1" applyAlignment="1">
      <alignment horizontal="left" vertical="center" wrapText="1"/>
    </xf>
    <xf numFmtId="0" fontId="8" fillId="0" borderId="19" xfId="0" quotePrefix="1" applyFont="1" applyBorder="1" applyAlignment="1">
      <alignment horizontal="left" vertical="center" wrapText="1"/>
    </xf>
    <xf numFmtId="0" fontId="8" fillId="0" borderId="20" xfId="0" quotePrefix="1" applyFont="1" applyBorder="1" applyAlignment="1">
      <alignment horizontal="center" vertical="center"/>
    </xf>
    <xf numFmtId="170" fontId="44" fillId="9" borderId="2" xfId="6" applyNumberFormat="1" applyFont="1" applyFill="1" applyBorder="1" applyAlignment="1">
      <alignment horizontal="center" vertical="center"/>
    </xf>
    <xf numFmtId="170" fontId="44" fillId="9" borderId="3" xfId="6" applyNumberFormat="1" applyFont="1" applyFill="1" applyBorder="1" applyAlignment="1">
      <alignment horizontal="center" vertical="center"/>
    </xf>
    <xf numFmtId="166" fontId="41" fillId="9" borderId="2" xfId="1" applyNumberFormat="1" applyFont="1" applyFill="1" applyBorder="1" applyAlignment="1">
      <alignment horizontal="center" vertical="center"/>
    </xf>
    <xf numFmtId="166" fontId="41" fillId="9" borderId="3" xfId="1" applyNumberFormat="1" applyFont="1" applyFill="1" applyBorder="1" applyAlignment="1">
      <alignment horizontal="center" vertical="center"/>
    </xf>
    <xf numFmtId="170" fontId="42" fillId="0" borderId="18" xfId="6" applyNumberFormat="1" applyFont="1" applyBorder="1" applyAlignment="1">
      <alignment horizontal="center" vertical="center"/>
    </xf>
    <xf numFmtId="10" fontId="42" fillId="0" borderId="20" xfId="0" applyNumberFormat="1" applyFont="1" applyBorder="1" applyAlignment="1">
      <alignment horizontal="center" vertical="center"/>
    </xf>
    <xf numFmtId="10" fontId="42" fillId="0" borderId="23" xfId="0" applyNumberFormat="1" applyFont="1" applyBorder="1" applyAlignment="1">
      <alignment horizontal="center" vertical="center"/>
    </xf>
    <xf numFmtId="10" fontId="42" fillId="0" borderId="1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4" applyFont="1" applyFill="1" applyBorder="1" applyAlignment="1">
      <alignment horizontal="left" vertical="center" wrapText="1" indent="3"/>
    </xf>
    <xf numFmtId="0" fontId="2" fillId="3" borderId="1" xfId="4" applyFont="1" applyFill="1" applyBorder="1" applyAlignment="1">
      <alignment horizontal="left" vertical="center" wrapText="1" indent="3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166" fontId="26" fillId="3" borderId="40" xfId="0" applyNumberFormat="1" applyFont="1" applyFill="1" applyBorder="1" applyAlignment="1">
      <alignment horizontal="center" vertical="center"/>
    </xf>
    <xf numFmtId="166" fontId="26" fillId="3" borderId="16" xfId="0" applyNumberFormat="1" applyFont="1" applyFill="1" applyBorder="1" applyAlignment="1">
      <alignment horizontal="center" vertical="center"/>
    </xf>
    <xf numFmtId="0" fontId="26" fillId="3" borderId="40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166" fontId="26" fillId="3" borderId="40" xfId="0" applyNumberFormat="1" applyFont="1" applyFill="1" applyBorder="1" applyAlignment="1">
      <alignment horizontal="center" vertical="center" wrapText="1"/>
    </xf>
    <xf numFmtId="166" fontId="26" fillId="3" borderId="16" xfId="0" applyNumberFormat="1" applyFont="1" applyFill="1" applyBorder="1" applyAlignment="1">
      <alignment horizontal="center" vertical="center" wrapText="1"/>
    </xf>
    <xf numFmtId="166" fontId="26" fillId="3" borderId="41" xfId="0" applyNumberFormat="1" applyFont="1" applyFill="1" applyBorder="1" applyAlignment="1">
      <alignment horizontal="center" vertical="center" wrapText="1"/>
    </xf>
    <xf numFmtId="166" fontId="26" fillId="3" borderId="43" xfId="0" applyNumberFormat="1" applyFont="1" applyFill="1" applyBorder="1" applyAlignment="1">
      <alignment horizontal="center" vertical="center" wrapText="1"/>
    </xf>
    <xf numFmtId="0" fontId="26" fillId="3" borderId="39" xfId="0" applyFont="1" applyFill="1" applyBorder="1" applyAlignment="1">
      <alignment horizontal="center" vertical="center"/>
    </xf>
    <xf numFmtId="0" fontId="26" fillId="3" borderId="42" xfId="0" applyFont="1" applyFill="1" applyBorder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166" fontId="26" fillId="3" borderId="14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horizontal="center" vertical="center"/>
    </xf>
    <xf numFmtId="166" fontId="26" fillId="3" borderId="4" xfId="0" applyNumberFormat="1" applyFont="1" applyFill="1" applyBorder="1" applyAlignment="1">
      <alignment horizontal="center" vertical="center"/>
    </xf>
    <xf numFmtId="166" fontId="26" fillId="3" borderId="14" xfId="0" applyNumberFormat="1" applyFont="1" applyFill="1" applyBorder="1" applyAlignment="1">
      <alignment horizontal="center" vertical="center" wrapText="1"/>
    </xf>
    <xf numFmtId="166" fontId="26" fillId="3" borderId="1" xfId="0" applyNumberFormat="1" applyFont="1" applyFill="1" applyBorder="1" applyAlignment="1">
      <alignment horizontal="center" vertical="center"/>
    </xf>
    <xf numFmtId="166" fontId="26" fillId="3" borderId="1" xfId="0" applyNumberFormat="1" applyFont="1" applyFill="1" applyBorder="1" applyAlignment="1">
      <alignment horizontal="center" vertical="center" wrapText="1"/>
    </xf>
    <xf numFmtId="1" fontId="35" fillId="7" borderId="14" xfId="0" applyNumberFormat="1" applyFont="1" applyFill="1" applyBorder="1" applyAlignment="1">
      <alignment horizontal="center" vertical="center"/>
    </xf>
    <xf numFmtId="1" fontId="35" fillId="7" borderId="16" xfId="0" applyNumberFormat="1" applyFont="1" applyFill="1" applyBorder="1" applyAlignment="1">
      <alignment horizontal="center" vertical="center"/>
    </xf>
    <xf numFmtId="1" fontId="35" fillId="7" borderId="1" xfId="0" applyNumberFormat="1" applyFont="1" applyFill="1" applyBorder="1" applyAlignment="1">
      <alignment horizontal="center" vertical="center"/>
    </xf>
    <xf numFmtId="0" fontId="14" fillId="3" borderId="2" xfId="20" applyFont="1" applyFill="1" applyBorder="1" applyAlignment="1">
      <alignment horizontal="center" vertical="center"/>
    </xf>
    <xf numFmtId="0" fontId="14" fillId="3" borderId="3" xfId="20" applyFont="1" applyFill="1" applyBorder="1" applyAlignment="1">
      <alignment horizontal="center" vertical="center"/>
    </xf>
    <xf numFmtId="0" fontId="14" fillId="1" borderId="2" xfId="20" applyFont="1" applyFill="1" applyBorder="1" applyAlignment="1">
      <alignment horizontal="center" vertical="center"/>
    </xf>
    <xf numFmtId="0" fontId="14" fillId="1" borderId="3" xfId="20" applyFont="1" applyFill="1" applyBorder="1" applyAlignment="1">
      <alignment horizontal="center" vertical="center"/>
    </xf>
    <xf numFmtId="0" fontId="14" fillId="1" borderId="4" xfId="20" applyFont="1" applyFill="1" applyBorder="1" applyAlignment="1">
      <alignment horizontal="center" vertical="center"/>
    </xf>
    <xf numFmtId="0" fontId="14" fillId="3" borderId="58" xfId="20" applyFont="1" applyFill="1" applyBorder="1" applyAlignment="1">
      <alignment horizontal="center" vertical="center"/>
    </xf>
    <xf numFmtId="0" fontId="14" fillId="1" borderId="8" xfId="20" applyFont="1" applyFill="1" applyBorder="1" applyAlignment="1">
      <alignment horizontal="center" vertical="center"/>
    </xf>
    <xf numFmtId="0" fontId="14" fillId="1" borderId="9" xfId="20" applyFont="1" applyFill="1" applyBorder="1" applyAlignment="1">
      <alignment horizontal="center" vertical="center"/>
    </xf>
    <xf numFmtId="0" fontId="14" fillId="1" borderId="10" xfId="20" applyFont="1" applyFill="1" applyBorder="1" applyAlignment="1">
      <alignment horizontal="center" vertical="center"/>
    </xf>
    <xf numFmtId="0" fontId="14" fillId="1" borderId="11" xfId="20" applyFont="1" applyFill="1" applyBorder="1" applyAlignment="1">
      <alignment horizontal="center" vertical="center"/>
    </xf>
    <xf numFmtId="0" fontId="14" fillId="1" borderId="12" xfId="20" applyFont="1" applyFill="1" applyBorder="1" applyAlignment="1">
      <alignment horizontal="center" vertical="center"/>
    </xf>
    <xf numFmtId="0" fontId="14" fillId="1" borderId="13" xfId="20" applyFont="1" applyFill="1" applyBorder="1" applyAlignment="1">
      <alignment horizontal="center" vertical="center"/>
    </xf>
    <xf numFmtId="41" fontId="15" fillId="0" borderId="16" xfId="18" applyFont="1" applyBorder="1" applyAlignment="1">
      <alignment horizontal="left" vertical="center"/>
    </xf>
    <xf numFmtId="41" fontId="14" fillId="0" borderId="16" xfId="18" applyFont="1" applyBorder="1" applyAlignment="1">
      <alignment horizontal="left" vertical="center"/>
    </xf>
    <xf numFmtId="41" fontId="15" fillId="0" borderId="1" xfId="18" applyFont="1" applyBorder="1" applyAlignment="1">
      <alignment horizontal="left" vertical="center"/>
    </xf>
    <xf numFmtId="41" fontId="14" fillId="0" borderId="1" xfId="18" applyFont="1" applyBorder="1" applyAlignment="1">
      <alignment horizontal="left" vertical="center" wrapText="1"/>
    </xf>
    <xf numFmtId="41" fontId="14" fillId="0" borderId="1" xfId="18" applyFont="1" applyBorder="1" applyAlignment="1">
      <alignment horizontal="left" vertical="center"/>
    </xf>
    <xf numFmtId="0" fontId="14" fillId="3" borderId="4" xfId="2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31" fillId="1" borderId="14" xfId="0" applyFont="1" applyFill="1" applyBorder="1" applyAlignment="1">
      <alignment horizontal="center" vertical="center"/>
    </xf>
    <xf numFmtId="0" fontId="15" fillId="11" borderId="16" xfId="20" applyFont="1" applyFill="1" applyBorder="1" applyAlignment="1">
      <alignment horizontal="center" vertical="center"/>
    </xf>
    <xf numFmtId="0" fontId="15" fillId="11" borderId="1" xfId="20" quotePrefix="1" applyFont="1" applyFill="1" applyBorder="1" applyAlignment="1">
      <alignment vertical="center"/>
    </xf>
    <xf numFmtId="0" fontId="15" fillId="11" borderId="17" xfId="20" quotePrefix="1" applyFont="1" applyFill="1" applyBorder="1" applyAlignment="1">
      <alignment horizontal="center" vertical="center"/>
    </xf>
    <xf numFmtId="0" fontId="15" fillId="11" borderId="22" xfId="20" applyFont="1" applyFill="1" applyBorder="1" applyAlignment="1">
      <alignment horizontal="center" vertical="center"/>
    </xf>
    <xf numFmtId="166" fontId="15" fillId="11" borderId="16" xfId="1" applyNumberFormat="1" applyFont="1" applyFill="1" applyBorder="1" applyAlignment="1">
      <alignment vertical="center"/>
    </xf>
    <xf numFmtId="166" fontId="15" fillId="11" borderId="1" xfId="1" applyNumberFormat="1" applyFont="1" applyFill="1" applyBorder="1" applyAlignment="1">
      <alignment horizontal="center" vertical="center"/>
    </xf>
    <xf numFmtId="0" fontId="15" fillId="11" borderId="1" xfId="20" applyFont="1" applyFill="1" applyBorder="1" applyAlignment="1">
      <alignment horizontal="center" vertical="center"/>
    </xf>
    <xf numFmtId="166" fontId="15" fillId="11" borderId="1" xfId="1" applyNumberFormat="1" applyFont="1" applyFill="1" applyBorder="1" applyAlignment="1">
      <alignment vertical="center"/>
    </xf>
    <xf numFmtId="0" fontId="8" fillId="11" borderId="0" xfId="0" applyFont="1" applyFill="1"/>
    <xf numFmtId="0" fontId="15" fillId="11" borderId="2" xfId="20" quotePrefix="1" applyFont="1" applyFill="1" applyBorder="1" applyAlignment="1">
      <alignment horizontal="center" vertical="center"/>
    </xf>
    <xf numFmtId="0" fontId="15" fillId="11" borderId="4" xfId="20" applyFont="1" applyFill="1" applyBorder="1" applyAlignment="1">
      <alignment horizontal="center" vertical="center"/>
    </xf>
  </cellXfs>
  <cellStyles count="21">
    <cellStyle name="Comma [0] 2" xfId="8" xr:uid="{64E753D3-383B-492F-97CE-A5EB90B2EABA}"/>
    <cellStyle name="Comma [0] 2 2" xfId="16" xr:uid="{70E1916E-2872-410D-B5EA-F3C971346286}"/>
    <cellStyle name="Comma [0] 2 3" xfId="9" xr:uid="{AC42DC7D-9826-47B0-B5B6-508DCF0F3E8E}"/>
    <cellStyle name="Comma [0] 2 3 2" xfId="18" xr:uid="{414FC288-6D85-4325-A0E5-224C5999672B}"/>
    <cellStyle name="Comma [0] 2 3 3" xfId="17" xr:uid="{8B275DCE-0B72-4A32-85CE-0BA513D29AA1}"/>
    <cellStyle name="Comma [0] 3" xfId="14" xr:uid="{0F7C2AB6-DE4E-4B76-B670-1E0ED0A791C1}"/>
    <cellStyle name="Comma 2" xfId="13" xr:uid="{4C4A6F16-14EB-41CE-B368-E0F81768952E}"/>
    <cellStyle name="Currency 2" xfId="15" xr:uid="{73A93878-EAED-4610-BC51-218EEAB5E66E}"/>
    <cellStyle name="Hipertaut" xfId="12" builtinId="8"/>
    <cellStyle name="Koma" xfId="1" builtinId="3"/>
    <cellStyle name="Koma [0]" xfId="2" builtinId="6"/>
    <cellStyle name="Mata Uang" xfId="6" builtinId="4"/>
    <cellStyle name="Normal" xfId="0" builtinId="0"/>
    <cellStyle name="Normal 10" xfId="10" xr:uid="{4C748DAC-AB0B-4EE8-BC34-B7B7538327FF}"/>
    <cellStyle name="Normal 2" xfId="5" xr:uid="{BB646D5F-6529-4388-B320-09199A55DB4B}"/>
    <cellStyle name="Normal 2 2" xfId="7" xr:uid="{05F2E780-DE85-460F-BBC4-B11F04BF844D}"/>
    <cellStyle name="Normal 2 2 2" xfId="19" xr:uid="{8B9C6721-14A2-4373-9542-75AFAA078473}"/>
    <cellStyle name="Normal 2 2 2 2" xfId="20" xr:uid="{83B42533-85E4-43D9-834B-2A954E3E69C0}"/>
    <cellStyle name="Normal 3 2 2" xfId="4" xr:uid="{66FBCCD5-AD9C-4143-9F89-6EFB1D066BDC}"/>
    <cellStyle name="Normal 5 2" xfId="11" xr:uid="{C8B30191-797A-4F20-AD8B-E2B7C482AECD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3</xdr:row>
      <xdr:rowOff>50800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150"/>
          <a:ext cx="1047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44</xdr:row>
      <xdr:rowOff>95250</xdr:rowOff>
    </xdr:from>
    <xdr:to>
      <xdr:col>4</xdr:col>
      <xdr:colOff>0</xdr:colOff>
      <xdr:row>45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63500</xdr:colOff>
      <xdr:row>44</xdr:row>
      <xdr:rowOff>76200</xdr:rowOff>
    </xdr:from>
    <xdr:to>
      <xdr:col>3</xdr:col>
      <xdr:colOff>806450</xdr:colOff>
      <xdr:row>49</xdr:row>
      <xdr:rowOff>139700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EECCC65-C029-4AE7-9E50-6DB5F41B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7575550"/>
          <a:ext cx="742950" cy="984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144</xdr:row>
      <xdr:rowOff>88900</xdr:rowOff>
    </xdr:from>
    <xdr:to>
      <xdr:col>2</xdr:col>
      <xdr:colOff>1365250</xdr:colOff>
      <xdr:row>145</xdr:row>
      <xdr:rowOff>44452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5918F8C-9A89-496F-A7AF-CA91B900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5557500"/>
          <a:ext cx="167640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144</xdr:row>
      <xdr:rowOff>27513</xdr:rowOff>
    </xdr:from>
    <xdr:to>
      <xdr:col>2</xdr:col>
      <xdr:colOff>891117</xdr:colOff>
      <xdr:row>148</xdr:row>
      <xdr:rowOff>176740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0DF5C7-C7C5-41C1-9DDF-4CD719CE5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5235763"/>
          <a:ext cx="751417" cy="944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326571</xdr:colOff>
      <xdr:row>5</xdr:row>
      <xdr:rowOff>155575</xdr:rowOff>
    </xdr:from>
    <xdr:to>
      <xdr:col>39</xdr:col>
      <xdr:colOff>330352</xdr:colOff>
      <xdr:row>21</xdr:row>
      <xdr:rowOff>31383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3B9394-B885-466A-0966-25A185E65D53}"/>
            </a:ext>
            <a:ext uri="{147F2762-F138-4A5C-976F-8EAC2B608ADB}">
              <a16:predDERef xmlns:a16="http://schemas.microsoft.com/office/drawing/2014/main" pred="{A10DF5C7-C7C5-41C1-9DDF-4CD719CE5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23971" y="1091746"/>
          <a:ext cx="6023581" cy="3000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1206500</xdr:colOff>
      <xdr:row>3</xdr:row>
      <xdr:rowOff>73025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0CC636-95D8-4C45-92B3-9D87DDA199F3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1520825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165100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18646DE-B7ED-4CE9-BA81-B69E47BE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367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412750</xdr:colOff>
      <xdr:row>49</xdr:row>
      <xdr:rowOff>150812</xdr:rowOff>
    </xdr:from>
    <xdr:to>
      <xdr:col>3</xdr:col>
      <xdr:colOff>305857</xdr:colOff>
      <xdr:row>50</xdr:row>
      <xdr:rowOff>150812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6A7AA16-A0FB-4748-AA3A-8826F621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8929687"/>
          <a:ext cx="1615546" cy="174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1411514</xdr:colOff>
      <xdr:row>49</xdr:row>
      <xdr:rowOff>149679</xdr:rowOff>
    </xdr:from>
    <xdr:to>
      <xdr:col>3</xdr:col>
      <xdr:colOff>434068</xdr:colOff>
      <xdr:row>54</xdr:row>
      <xdr:rowOff>169334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966F513-06AC-403F-B2A6-344F1B5FD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157" y="8948965"/>
          <a:ext cx="746125" cy="890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69159</xdr:colOff>
      <xdr:row>8</xdr:row>
      <xdr:rowOff>12575</xdr:rowOff>
    </xdr:from>
    <xdr:to>
      <xdr:col>5</xdr:col>
      <xdr:colOff>716733</xdr:colOff>
      <xdr:row>12</xdr:row>
      <xdr:rowOff>25942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30ADA-9CE0-49FD-AEB2-E78BF49FE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060" y="1521486"/>
          <a:ext cx="5620693" cy="7426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412750</xdr:colOff>
      <xdr:row>3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C627C-0123-43D5-8650-EF0F75A24949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083" y="0"/>
          <a:ext cx="1534584" cy="612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126142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F1858A2-A8E9-4E75-89C8-EC018F38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1532237" cy="678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126142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654FA24-8F33-478B-BF37-77A231CA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851" y="0"/>
          <a:ext cx="15303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1073150</xdr:colOff>
      <xdr:row>3</xdr:row>
      <xdr:rowOff>22225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FEC9F-09FB-44DC-9D01-862CEF2C0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511300" cy="65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T%20MITRA%20BAKTI%20UT/2025/01.%20Cost%20Structure/PT%20Kideko/CS%200202-%20Penawaran%20Harga%20Penyedia%20Jasa%20Tenaga%20Kerja%20Carpenter%20PT%20Kideco%20Jaya%20Agung%202025%20(R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ing Letter "/>
      <sheetName val="RECAP"/>
      <sheetName val="MP 2025"/>
      <sheetName val="TOOLS"/>
    </sheetNames>
    <sheetDataSet>
      <sheetData sheetId="0">
        <row r="5">
          <cell r="D5" t="str">
            <v>CS/0202/2025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okopedia.com/kontinumabadi/tube-cutter-alat-pemotong-pipa-ac-ct-128" TargetMode="External"/><Relationship Id="rId18" Type="http://schemas.openxmlformats.org/officeDocument/2006/relationships/hyperlink" Target="https://www.tokopedia.com/injaya21/manifold-value-r410-vmg-r410a-b-02-manifold-double-multi-r22-r410" TargetMode="External"/><Relationship Id="rId26" Type="http://schemas.openxmlformats.org/officeDocument/2006/relationships/hyperlink" Target="https://tokopedia.link/VCltXBOH8Nb" TargetMode="External"/><Relationship Id="rId39" Type="http://schemas.openxmlformats.org/officeDocument/2006/relationships/hyperlink" Target="https://www.tokopedia.com/fixcomart/tang-lancip-tekiro-8-inch-tang-cucut?extParam=ivf%3Dfalse%26keyword%3Dtang+lancip+tekiro%26search_id%3D2024121603095899AA580D148C171D1ESO%26src%3Dsearch" TargetMode="External"/><Relationship Id="rId21" Type="http://schemas.openxmlformats.org/officeDocument/2006/relationships/hyperlink" Target="https://www.tokopedia.com/remajateknik88/jet-ac-cleaner-high-pressure-nlg-hpc-40-ts-alternatif-morris-40p-unit-saja-bawaan-5-meter-0f514?extParam=ivf%3Dfalse&amp;src=topads" TargetMode="External"/><Relationship Id="rId34" Type="http://schemas.openxmlformats.org/officeDocument/2006/relationships/hyperlink" Target="https://www.tokopedia.com/fixcomart/tekiro-kunci-l-set-panjang-8-pcs-2-10-mm-hex-key-long?extParam=cmp%3D1%26ivf%3Dtrue%26keyword%3Dkunci+l+tekiro+set%26search_id%3D2024121602580997CC7940F0C5251ABORX%26src%3Dsearch" TargetMode="External"/><Relationship Id="rId42" Type="http://schemas.openxmlformats.org/officeDocument/2006/relationships/hyperlink" Target="https://www.tokopedia.com/tekiro-rexco/tekiro-tespen-ac-tespen-listrik-tools-alat-perkakas?extParam=ivf%3Dfalse%26keyword%3Dtespen+tekiro%26search_id%3D20241216033246040F645A0D3C9E178U7U%26src%3Dsearch" TargetMode="External"/><Relationship Id="rId47" Type="http://schemas.openxmlformats.org/officeDocument/2006/relationships/hyperlink" Target="https://www.tokopedia.com/nagateknika/tekiro-tang-kombinasi-8-inci-tekiro-tang-japit-8-linesman-pliers-8?extParam=ivf%3Dfalse%26keyword%3Dtang+kombinasi+tekiro+8+inch%26search_id%3D20241216041308DB1B51FF54C67C26FVWD%26src%3Dsearch" TargetMode="External"/><Relationship Id="rId50" Type="http://schemas.openxmlformats.org/officeDocument/2006/relationships/hyperlink" Target="https://www.tokopedia.com/mperkakas/tekiro-obeng-bogel-stubby-2-arah-obeng-cebol-plus-minus-2-in-1?extParam=ivf%3Dfalse%26keyword%3Dobeng+cebol+tekiro&amp;src=topads" TargetMode="External"/><Relationship Id="rId55" Type="http://schemas.openxmlformats.org/officeDocument/2006/relationships/hyperlink" Target="https://www.tokopedia.com/drillandco/bosch-gsb-18v-50-mesin-bor-tembok-baterai-cordless-drill-brushless?extParam=ivf%3Dfalse%26keyword%3Dmesin+bor+baterai+bosch%26search_id%3D202412160436470ADBC311731E103DEV6L%26src%3Dsearch" TargetMode="External"/><Relationship Id="rId7" Type="http://schemas.openxmlformats.org/officeDocument/2006/relationships/hyperlink" Target="https://www.tokopedia.com/ikieshop/plastik-cuci-ac-split-indoor-outdoor-unit?extParam=ivf%3Dfalse%26keyword%3Dplastik+cuci+ac%26search_id%3D20241031033649646EA4D1E603FA282ZH0%26src%3Dsearch" TargetMode="External"/><Relationship Id="rId2" Type="http://schemas.openxmlformats.org/officeDocument/2006/relationships/hyperlink" Target="https://www.googleadservices.com/pagead/aclk?sa=L&amp;ai=DChcSEwiIvOD_kKuKAxUkq2YCHZMFIV8YABAeGgJzbQ&amp;ae=2&amp;aspm=1&amp;co=1&amp;ase=2&amp;gclid=CjwKCAiAmfq6BhAsEiwAX1jsZ_QGaHB2PW1oPUaT4GGHHDTUeX516XLStuYNajgP-ZfTl1FDddMZJxoC3wcQAvD_BwE&amp;ei=pIFfZ6qROfCw4-EP8qrfUQ&amp;ohost=www.google.com&amp;cid=CAESVuD21p6iXnmqKzspqtIJKe_Cy1xeozHnvbxt6WXSZoRw3JyvQTgr8JzGlA_AxzvdRfxSPLgEHZZoCSS5UISMcZx3wQWQMMFb8LAj_Q-IEgewMt8S1z-k&amp;sig=AOD64_1Gq70GlvtY2XgNxXF1BRuL90wiBQ&amp;ctype=5&amp;q=&amp;nis=4&amp;sqi=2&amp;ved=2ahUKEwiq89v_kKuKAxVw2DgGHXLVNwoQ9aACKAB6BAgHEA4&amp;adurl=" TargetMode="External"/><Relationship Id="rId16" Type="http://schemas.openxmlformats.org/officeDocument/2006/relationships/hyperlink" Target="https://www.tokopedia.com/mangjajang/solder-listrik-iron-60w-adjustable-temperatur-200-450-c-solder?extParam=ivf%3Dfalse%26keyword%3Dsolder+60+watt%26search_id%3D202410310405080801EAA2BB119B2D5Q4G%26src%3Dsearch%26whid%3D12669178" TargetMode="External"/><Relationship Id="rId29" Type="http://schemas.openxmlformats.org/officeDocument/2006/relationships/hyperlink" Target="https://www.tokopedia.com/technicamarket/freon-refrigerant-410a-r410a?extParam=ivf%3Dfalse%26keyword%3Dfreon+r410a&amp;src=topads" TargetMode="External"/><Relationship Id="rId11" Type="http://schemas.openxmlformats.org/officeDocument/2006/relationships/hyperlink" Target="https://www.tokopedia.com/agenled/lampu-senter-kepala-led-30w-headlamp-cob-recharge-cas-charger-30-watt?extParam=ivf%3Dfalse&amp;src=topads" TargetMode="External"/><Relationship Id="rId24" Type="http://schemas.openxmlformats.org/officeDocument/2006/relationships/hyperlink" Target="https://tokopedia.link/sb9Tf1ME8Nb" TargetMode="External"/><Relationship Id="rId32" Type="http://schemas.openxmlformats.org/officeDocument/2006/relationships/hyperlink" Target="https://www.tokopedia.com/fixcomart/tekiro-kunci-l-set-torx-9-pcs-kunci-l-bintang-set-tanpa-lubang?extParam=ivf%3Dfalse%26keyword%3Dkunci+l+bintang+tekiro%26search_id%3D202412160255180ADBC311731E101AA5SF%26src%3Dsearch" TargetMode="External"/><Relationship Id="rId37" Type="http://schemas.openxmlformats.org/officeDocument/2006/relationships/hyperlink" Target="https://www.tokopedia.com/timteknik/tekiro-kunci-inggris-12" TargetMode="External"/><Relationship Id="rId40" Type="http://schemas.openxmlformats.org/officeDocument/2006/relationships/hyperlink" Target="https://www.tokopedia.com/onoshop/cutter-acrylic-pisau-alat-potong-acrylic-tekiro-gt-ct2063?extParam=ivf%3Dfalse%26keyword%3Dcutter+tekiro%26search_id%3D202412160322207C26C6AC106AE2134EOW%26src%3Dsearch" TargetMode="External"/><Relationship Id="rId45" Type="http://schemas.openxmlformats.org/officeDocument/2006/relationships/hyperlink" Target="https://www.tokopedia.com/88te/tekiro-obeng-plus-minus-gagang-karet-6mm-original-tekiro-termurah-minus-300mm-6809d?extParam=ivf%3Dfalse%26keyword%3Dobeng+minus+tekiro%26search_id%3D202412160342527C26C6AC106AE23512YD%26src%3Dsearch" TargetMode="External"/><Relationship Id="rId53" Type="http://schemas.openxmlformats.org/officeDocument/2006/relationships/hyperlink" Target="https://www.tokopedia.com/drillandco/bosch-gsb-600-mesin-bor-tangan-listrik-beton-13-mm-impact-drill-600w?extParam=cmp%3D1%26ivf%3Dfalse%26keyword%3Dbor+listrik+bosch%26search_id%3D20241216042426F8C57B7E4F0FA213DNKG%26src%3Dsearch" TargetMode="External"/><Relationship Id="rId58" Type="http://schemas.openxmlformats.org/officeDocument/2006/relationships/printerSettings" Target="../printerSettings/printerSettings6.bin"/><Relationship Id="rId5" Type="http://schemas.openxmlformats.org/officeDocument/2006/relationships/hyperlink" Target="https://shopee.co.id/product/192848317/19876289095?gads_t_sig=VTJGc2RHVmtYMTlxTFVSVVRrdENkWVp3RFo3Mkw5czd4Z0hzdEF1WVFiazczUkpkaUVwcUNFWkNrcmJJbjBWdkI3aTFBTk9kQkRCc1haUXhLVGtLaFdpeU9Cc1VUYXR3MWdvNCs5d0RwVytWMXVKRmROeHBYZGEzdStXR2pTWGU&amp;gad_source=1&amp;gclid=CjwKCAiAmfq6BhAsEiwAX1jsZ5zObNd0ZVtK8OZm-bKRduNfFge6c0KTO4UJMu-GrG3RJK_mOVqarBoCug8QAvD_BwE" TargetMode="External"/><Relationship Id="rId19" Type="http://schemas.openxmlformats.org/officeDocument/2006/relationships/hyperlink" Target="https://shopee.co.id/Testing-Manifold-STARMEC-PGD-536GF-Double-Manifold-PGD536-GF-STARMEC-i.233341203.7534553994" TargetMode="External"/><Relationship Id="rId4" Type="http://schemas.openxmlformats.org/officeDocument/2006/relationships/hyperlink" Target="https://www.monotaro.id/items/s018026498.html?utm_source=google&amp;utm_medium=pla&amp;utm_campaign=1672206402&amp;utm_content=88187085595&amp;gad_source=1&amp;gclid=CjwKCAiAmfq6BhAsEiwAX1jsZ2VC3dCTYcHBDeXDN4r_BoXn010XnL1f3yIHUiISYaelyMcgSpf0hxoCJKMQAvD_BwE" TargetMode="External"/><Relationship Id="rId9" Type="http://schemas.openxmlformats.org/officeDocument/2006/relationships/hyperlink" Target="https://www.tokopedia.com/ntelectric/supreme-kabel-nym-3x1-5-3-x-1-5-3x1-5-mm-putih-permeter?extParam=ivf%3Dfalse%26keyword%3Dkabel+nym+3x1+5+supreme%26search_id%3D20241031034313A07854F78A6F2C2ED0EW%26src%3Dsearch&amp;refined=true" TargetMode="External"/><Relationship Id="rId14" Type="http://schemas.openxmlformats.org/officeDocument/2006/relationships/hyperlink" Target="https://www.tokopedia.com/gendosparepart/value-flaring-tool-vft-808-in" TargetMode="External"/><Relationship Id="rId22" Type="http://schemas.openxmlformats.org/officeDocument/2006/relationships/hyperlink" Target="https://tokopedia.link/X6cW41nE8Nb" TargetMode="External"/><Relationship Id="rId27" Type="http://schemas.openxmlformats.org/officeDocument/2006/relationships/hyperlink" Target="https://tokopedia.link/yHWGVThF8Nb" TargetMode="External"/><Relationship Id="rId30" Type="http://schemas.openxmlformats.org/officeDocument/2006/relationships/hyperlink" Target="https://www.tokopedia.com/technicamarket/freon-refrigerant-32-r32?extParam=whid%3D2969135%26src%3Dshop&amp;aff_unique_id=&amp;channel=others&amp;chain_key=" TargetMode="External"/><Relationship Id="rId35" Type="http://schemas.openxmlformats.org/officeDocument/2006/relationships/hyperlink" Target="https://www.tokopedia.com/timteknik/tekiro-kunci-inggris-8?extParam=ivf%3Dfalse%26keyword%3Dkunci+inggris+tekiro+8%26search_id%3D2024121602595453855FD8D49DD5221MZL%26src%3Dsearch" TargetMode="External"/><Relationship Id="rId43" Type="http://schemas.openxmlformats.org/officeDocument/2006/relationships/hyperlink" Target="https://www.tokopedia.com/belanjateknik/tekiro-tang-buaya-bengkok-10-inch-locking-grip-pliers-10-inchi-tekiro?extParam=ivf%3Dfalse%26keyword%3Dtang+grip&amp;src=topads" TargetMode="External"/><Relationship Id="rId48" Type="http://schemas.openxmlformats.org/officeDocument/2006/relationships/hyperlink" Target="https://www.tokopedia.com/tokokpa/obeng-set-tekiro-interchangeable-screwdriver-set-19-in-1-obeng-set?extParam=ivf%3Dfalse%26keyword%3Dobeng+tekiro+set%26search_id%3D202412160414399DD646441E5F5D1BBML7%26src%3Dsearch" TargetMode="External"/><Relationship Id="rId56" Type="http://schemas.openxmlformats.org/officeDocument/2006/relationships/hyperlink" Target="https://www.tokopedia.com/myluckyshop88/camel-palu-kambing-gagang-besi-lapis-karet-0-25kg-0-25-kg?extParam=ivf%3Dfalse%26keyword%3Dpalu+besi%26search_id%3D202412160439261C1EE7431EB9D604DYME%26src%3Dsearch" TargetMode="External"/><Relationship Id="rId8" Type="http://schemas.openxmlformats.org/officeDocument/2006/relationships/hyperlink" Target="https://www.tokopedia.com/planetselang/paket-selang-air-30-meter-5-8-inch-tebal-1-mm-selang-air-serat-benang?src=topads" TargetMode="External"/><Relationship Id="rId51" Type="http://schemas.openxmlformats.org/officeDocument/2006/relationships/hyperlink" Target="https://www.tokopedia.com/pastibeliterus/vacuum-pump-ac-ve115n-value-1-4-pk-merk-valeu?extParam=ivf%3Dfalse%26keyword%3Dvacum+ac+value%26search_id%3D20241216042131DB1B51FF54C67C15B7VZ%26src%3Dsearch" TargetMode="External"/><Relationship Id="rId3" Type="http://schemas.openxmlformats.org/officeDocument/2006/relationships/hyperlink" Target="https://www.monotaro.id/items/s013202316.html?utm_source=google&amp;utm_medium=pla&amp;utm_campaign=1672206402&amp;utm_content=88187085595&amp;gad_source=1&amp;gclid=CjwKCAiAmfq6BhAsEiwAX1jsZwGJEB8zREd_b9CXA3s1JXaOd_lYLVIZTeTZHMEF6-VhiETgb98HohoCgsMQAvD_BwE" TargetMode="External"/><Relationship Id="rId12" Type="http://schemas.openxmlformats.org/officeDocument/2006/relationships/hyperlink" Target="https://www.tokopedia.com/jefry1fernando/vacum-pump-ac-1-4-pk-vacuum-pump-mobil-dan-kulkas-value-ve115n?extParam=ivf%3Dfalse%26keyword%3Dve115n%26search_id%3D20241031040051646EA4D1E603FA30DQZ3%26src%3Dsearch" TargetMode="External"/><Relationship Id="rId17" Type="http://schemas.openxmlformats.org/officeDocument/2006/relationships/hyperlink" Target="https://www.tokopedia.com/terataianeka/testing-manifold-ac-double-multi-r22-r134a-r410a-r32-starmec-dbl-b536" TargetMode="External"/><Relationship Id="rId25" Type="http://schemas.openxmlformats.org/officeDocument/2006/relationships/hyperlink" Target="https://tokopedia.link/jYIZWzZE8Nb" TargetMode="External"/><Relationship Id="rId33" Type="http://schemas.openxmlformats.org/officeDocument/2006/relationships/hyperlink" Target="https://www.tokopedia.com/timteknik/tekiro-meteran-5m-transparan-meteran-tangan?extParam=ivf%3Dfalse%26keyword%3Dmeteran+tekiro+5m%26search_id%3D20241216025708DB1B51FF54C67C39714N%26src%3Dsearch" TargetMode="External"/><Relationship Id="rId38" Type="http://schemas.openxmlformats.org/officeDocument/2006/relationships/hyperlink" Target="https://www.tokopedia.com/timteknik/tekiro-waterpass-magnet-panjang-24-60cm?extParam=ivf%3Dfalse%26keyword%3Dwaterpass+tekiro%26search_id%3D20241216030241D8B574E31928C135BW08%26src%3Dsearch" TargetMode="External"/><Relationship Id="rId46" Type="http://schemas.openxmlformats.org/officeDocument/2006/relationships/hyperlink" Target="https://www.tokopedia.com/gsg/sale-kunci-ring-pas-set-tekiro-11pcs-8-24-pcs-tekiro-11-pcs-8-24pcs-kunci-ring-pas?extParam=ivf%3Dfalse%26keyword%3Dkunci+pas+ring+tekiro%26search_id%3D20241216041145D987C39936289E288Q2Y%26src%3Dsearch" TargetMode="External"/><Relationship Id="rId59" Type="http://schemas.openxmlformats.org/officeDocument/2006/relationships/drawing" Target="../drawings/drawing5.xml"/><Relationship Id="rId20" Type="http://schemas.openxmlformats.org/officeDocument/2006/relationships/hyperlink" Target="https://www.tokopedia.com/bentshops/timah-asahi-0-6-mm-60-40-timah-solder-asahi-original?extParam=ivf%3Dfalse&amp;src=topads" TargetMode="External"/><Relationship Id="rId41" Type="http://schemas.openxmlformats.org/officeDocument/2006/relationships/hyperlink" Target="https://www.tokopedia.com/caelight20/cutter-kenko-a-300-kenko-a300-cutter-cutter-kenko-kecil-a300?utm_source=google&amp;utm_medium=organic&amp;utm_campaign=pdp" TargetMode="External"/><Relationship Id="rId54" Type="http://schemas.openxmlformats.org/officeDocument/2006/relationships/hyperlink" Target="https://www.tokopedia.com/timteknik/tekiro-tang-kombinasi-ukuran-7-inch?extParam=ivf%3Dfalse%26keyword%3Dtang+tekiro+7%26search_id%3D20241216043012B588B6232055EF0856Y8%26src%3Dsearch" TargetMode="External"/><Relationship Id="rId1" Type="http://schemas.openxmlformats.org/officeDocument/2006/relationships/hyperlink" Target="https://www.monotaro.id/items/s000045017.html?utm_source=google&amp;utm_medium=pla&amp;utm_campaign=1672206402&amp;utm_content=88187085595&amp;gad_source=1&amp;gclid=CjwKCAiAmfq6BhAsEiwAX1jsZ6i0fPuXI76hOnQrg7uWHPPMYS15tQ1lGoNZxZjgmxI-lXqRo6OsqhoCQx8QAvD_BwE" TargetMode="External"/><Relationship Id="rId6" Type="http://schemas.openxmlformats.org/officeDocument/2006/relationships/hyperlink" Target="https://www.monotaro.id/items/s000052817.html?utm_source=google&amp;utm_medium=pla&amp;utm_campaign=1672206402&amp;utm_content=88187085595&amp;gad_source=1&amp;gclid=CjwKCAiAmfq6BhAsEiwAX1jsZ4detZQcF3A8gKizxCFsHhQ7ROIGA8sH2fXS3c-ebJqvYBiGoXlqnRoCW_8QAvD_BwE" TargetMode="External"/><Relationship Id="rId15" Type="http://schemas.openxmlformats.org/officeDocument/2006/relationships/hyperlink" Target="https://www.tokopedia.com/binaelectric/industrial-infrared-thermogun-wh320-dv-thermometer-gun-dv-celcius" TargetMode="External"/><Relationship Id="rId23" Type="http://schemas.openxmlformats.org/officeDocument/2006/relationships/hyperlink" Target="https://tokopedia.link/CXRpB1AE8Nb" TargetMode="External"/><Relationship Id="rId28" Type="http://schemas.openxmlformats.org/officeDocument/2006/relationships/hyperlink" Target="https://www.tokopedia.com/technicamarket/freon-refrigerant-22-r22?extParam=ivf%3Dfalse%26keyword%3Dfreon+refrigerant+r22&amp;src=topads" TargetMode="External"/><Relationship Id="rId36" Type="http://schemas.openxmlformats.org/officeDocument/2006/relationships/hyperlink" Target="https://www.tokopedia.com/timteknik/tekiro-kunci-inggris-10" TargetMode="External"/><Relationship Id="rId49" Type="http://schemas.openxmlformats.org/officeDocument/2006/relationships/hyperlink" Target="https://www.tokopedia.com/willshoponline/selang-manifold-ac-freon-r22-1-set-3-pcs-90cm?extParam=ivf%3Dfalse%26keyword%3Dselang+manifold+ac%26search_id%3D202412160419169DD646441E5F5D208NN1%26src%3Dsearch" TargetMode="External"/><Relationship Id="rId57" Type="http://schemas.openxmlformats.org/officeDocument/2006/relationships/hyperlink" Target="https://www.tokopedia.com/timteknik/tekiro-treker-kaki-2-ukuran-8?extParam=ivf%3Dfalse%26keyword%3Dtreker+2+kaki%26search_id%3D20241216044048697C727B236B540A7H8U%26src%3Dsearch" TargetMode="External"/><Relationship Id="rId10" Type="http://schemas.openxmlformats.org/officeDocument/2006/relationships/hyperlink" Target="https://www.tokopedia.com/shanumelmyra/kain-lap-kanebo-ukuran-32-x-21-cm-lap-mobil-lap-motor-lap-sepeda-murah" TargetMode="External"/><Relationship Id="rId31" Type="http://schemas.openxmlformats.org/officeDocument/2006/relationships/hyperlink" Target="https://www.tokopedia.com/fssafety/tekiro-tang-kombinasi-potong-lancip-4-5-6-7-8-inch-t-lancip-4-5?extParam=ivf%3Dfalse%26keyword%3Dtang+kombinasi+tekiro+8+inch&amp;src=topads" TargetMode="External"/><Relationship Id="rId44" Type="http://schemas.openxmlformats.org/officeDocument/2006/relationships/hyperlink" Target="https://www.tokopedia.com/glodoksupermarket/obeng-plus-8-inch-tekiro-diameter-6mm-ph2-panjang-besi-20cm-magnet-gag-tanpa-bubble-767ac?extParam=ivf%3Dfalse%26keyword%3Dobeng+plus+tekiro%26search_id%3D2024121603393302F3ED22F52BEC166EBQ%26src%3Dsearch" TargetMode="External"/><Relationship Id="rId52" Type="http://schemas.openxmlformats.org/officeDocument/2006/relationships/hyperlink" Target="https://www.tokopedia.com/amd-hardware/gunting-pipa-pvc-42mm-tekiro-kapusi-original-japan-pipe-cutter-42-mm-maxsupe-42mm-54919?extParam=ivf%3Dfalse%26keyword%3Dgunting+pipa+tekiro%26search_id%3D20241216042322F8C57B7E4F0FA2228MT0%26src%3Dsearc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sheetPr>
    <pageSetUpPr fitToPage="1"/>
  </sheetPr>
  <dimension ref="B4:G49"/>
  <sheetViews>
    <sheetView showGridLines="0" view="pageBreakPreview" topLeftCell="A18" zoomScaleNormal="100" zoomScaleSheetLayoutView="100" workbookViewId="0">
      <selection activeCell="D23" sqref="D23"/>
    </sheetView>
  </sheetViews>
  <sheetFormatPr defaultColWidth="9.21875" defaultRowHeight="14.4" x14ac:dyDescent="0.3"/>
  <cols>
    <col min="1" max="1" width="4" style="15" customWidth="1"/>
    <col min="2" max="2" width="9.21875" style="15"/>
    <col min="3" max="3" width="1.44140625" style="15" bestFit="1" customWidth="1"/>
    <col min="4" max="4" width="13.44140625" style="15" customWidth="1"/>
    <col min="5" max="5" width="52.77734375" style="15" customWidth="1"/>
    <col min="6" max="6" width="17.77734375" style="15" customWidth="1"/>
    <col min="7" max="7" width="3.77734375" style="15" customWidth="1"/>
    <col min="8" max="256" width="9.21875" style="15"/>
    <col min="257" max="257" width="4" style="15" customWidth="1"/>
    <col min="258" max="258" width="9.21875" style="15"/>
    <col min="259" max="259" width="1.44140625" style="15" bestFit="1" customWidth="1"/>
    <col min="260" max="260" width="13.44140625" style="15" customWidth="1"/>
    <col min="261" max="261" width="52.77734375" style="15" customWidth="1"/>
    <col min="262" max="262" width="17.77734375" style="15" customWidth="1"/>
    <col min="263" max="263" width="3.77734375" style="15" customWidth="1"/>
    <col min="264" max="512" width="9.21875" style="15"/>
    <col min="513" max="513" width="4" style="15" customWidth="1"/>
    <col min="514" max="514" width="9.21875" style="15"/>
    <col min="515" max="515" width="1.44140625" style="15" bestFit="1" customWidth="1"/>
    <col min="516" max="516" width="13.44140625" style="15" customWidth="1"/>
    <col min="517" max="517" width="52.77734375" style="15" customWidth="1"/>
    <col min="518" max="518" width="17.77734375" style="15" customWidth="1"/>
    <col min="519" max="519" width="3.77734375" style="15" customWidth="1"/>
    <col min="520" max="768" width="9.21875" style="15"/>
    <col min="769" max="769" width="4" style="15" customWidth="1"/>
    <col min="770" max="770" width="9.21875" style="15"/>
    <col min="771" max="771" width="1.44140625" style="15" bestFit="1" customWidth="1"/>
    <col min="772" max="772" width="13.44140625" style="15" customWidth="1"/>
    <col min="773" max="773" width="52.77734375" style="15" customWidth="1"/>
    <col min="774" max="774" width="17.77734375" style="15" customWidth="1"/>
    <col min="775" max="775" width="3.77734375" style="15" customWidth="1"/>
    <col min="776" max="1024" width="9.21875" style="15"/>
    <col min="1025" max="1025" width="4" style="15" customWidth="1"/>
    <col min="1026" max="1026" width="9.21875" style="15"/>
    <col min="1027" max="1027" width="1.44140625" style="15" bestFit="1" customWidth="1"/>
    <col min="1028" max="1028" width="13.44140625" style="15" customWidth="1"/>
    <col min="1029" max="1029" width="52.77734375" style="15" customWidth="1"/>
    <col min="1030" max="1030" width="17.77734375" style="15" customWidth="1"/>
    <col min="1031" max="1031" width="3.77734375" style="15" customWidth="1"/>
    <col min="1032" max="1280" width="9.21875" style="15"/>
    <col min="1281" max="1281" width="4" style="15" customWidth="1"/>
    <col min="1282" max="1282" width="9.21875" style="15"/>
    <col min="1283" max="1283" width="1.44140625" style="15" bestFit="1" customWidth="1"/>
    <col min="1284" max="1284" width="13.44140625" style="15" customWidth="1"/>
    <col min="1285" max="1285" width="52.77734375" style="15" customWidth="1"/>
    <col min="1286" max="1286" width="17.77734375" style="15" customWidth="1"/>
    <col min="1287" max="1287" width="3.77734375" style="15" customWidth="1"/>
    <col min="1288" max="1536" width="9.21875" style="15"/>
    <col min="1537" max="1537" width="4" style="15" customWidth="1"/>
    <col min="1538" max="1538" width="9.21875" style="15"/>
    <col min="1539" max="1539" width="1.44140625" style="15" bestFit="1" customWidth="1"/>
    <col min="1540" max="1540" width="13.44140625" style="15" customWidth="1"/>
    <col min="1541" max="1541" width="52.77734375" style="15" customWidth="1"/>
    <col min="1542" max="1542" width="17.77734375" style="15" customWidth="1"/>
    <col min="1543" max="1543" width="3.77734375" style="15" customWidth="1"/>
    <col min="1544" max="1792" width="9.21875" style="15"/>
    <col min="1793" max="1793" width="4" style="15" customWidth="1"/>
    <col min="1794" max="1794" width="9.21875" style="15"/>
    <col min="1795" max="1795" width="1.44140625" style="15" bestFit="1" customWidth="1"/>
    <col min="1796" max="1796" width="13.44140625" style="15" customWidth="1"/>
    <col min="1797" max="1797" width="52.77734375" style="15" customWidth="1"/>
    <col min="1798" max="1798" width="17.77734375" style="15" customWidth="1"/>
    <col min="1799" max="1799" width="3.77734375" style="15" customWidth="1"/>
    <col min="1800" max="2048" width="9.21875" style="15"/>
    <col min="2049" max="2049" width="4" style="15" customWidth="1"/>
    <col min="2050" max="2050" width="9.21875" style="15"/>
    <col min="2051" max="2051" width="1.44140625" style="15" bestFit="1" customWidth="1"/>
    <col min="2052" max="2052" width="13.44140625" style="15" customWidth="1"/>
    <col min="2053" max="2053" width="52.77734375" style="15" customWidth="1"/>
    <col min="2054" max="2054" width="17.77734375" style="15" customWidth="1"/>
    <col min="2055" max="2055" width="3.77734375" style="15" customWidth="1"/>
    <col min="2056" max="2304" width="9.21875" style="15"/>
    <col min="2305" max="2305" width="4" style="15" customWidth="1"/>
    <col min="2306" max="2306" width="9.21875" style="15"/>
    <col min="2307" max="2307" width="1.44140625" style="15" bestFit="1" customWidth="1"/>
    <col min="2308" max="2308" width="13.44140625" style="15" customWidth="1"/>
    <col min="2309" max="2309" width="52.77734375" style="15" customWidth="1"/>
    <col min="2310" max="2310" width="17.77734375" style="15" customWidth="1"/>
    <col min="2311" max="2311" width="3.77734375" style="15" customWidth="1"/>
    <col min="2312" max="2560" width="9.21875" style="15"/>
    <col min="2561" max="2561" width="4" style="15" customWidth="1"/>
    <col min="2562" max="2562" width="9.21875" style="15"/>
    <col min="2563" max="2563" width="1.44140625" style="15" bestFit="1" customWidth="1"/>
    <col min="2564" max="2564" width="13.44140625" style="15" customWidth="1"/>
    <col min="2565" max="2565" width="52.77734375" style="15" customWidth="1"/>
    <col min="2566" max="2566" width="17.77734375" style="15" customWidth="1"/>
    <col min="2567" max="2567" width="3.77734375" style="15" customWidth="1"/>
    <col min="2568" max="2816" width="9.21875" style="15"/>
    <col min="2817" max="2817" width="4" style="15" customWidth="1"/>
    <col min="2818" max="2818" width="9.21875" style="15"/>
    <col min="2819" max="2819" width="1.44140625" style="15" bestFit="1" customWidth="1"/>
    <col min="2820" max="2820" width="13.44140625" style="15" customWidth="1"/>
    <col min="2821" max="2821" width="52.77734375" style="15" customWidth="1"/>
    <col min="2822" max="2822" width="17.77734375" style="15" customWidth="1"/>
    <col min="2823" max="2823" width="3.77734375" style="15" customWidth="1"/>
    <col min="2824" max="3072" width="9.21875" style="15"/>
    <col min="3073" max="3073" width="4" style="15" customWidth="1"/>
    <col min="3074" max="3074" width="9.21875" style="15"/>
    <col min="3075" max="3075" width="1.44140625" style="15" bestFit="1" customWidth="1"/>
    <col min="3076" max="3076" width="13.44140625" style="15" customWidth="1"/>
    <col min="3077" max="3077" width="52.77734375" style="15" customWidth="1"/>
    <col min="3078" max="3078" width="17.77734375" style="15" customWidth="1"/>
    <col min="3079" max="3079" width="3.77734375" style="15" customWidth="1"/>
    <col min="3080" max="3328" width="9.21875" style="15"/>
    <col min="3329" max="3329" width="4" style="15" customWidth="1"/>
    <col min="3330" max="3330" width="9.21875" style="15"/>
    <col min="3331" max="3331" width="1.44140625" style="15" bestFit="1" customWidth="1"/>
    <col min="3332" max="3332" width="13.44140625" style="15" customWidth="1"/>
    <col min="3333" max="3333" width="52.77734375" style="15" customWidth="1"/>
    <col min="3334" max="3334" width="17.77734375" style="15" customWidth="1"/>
    <col min="3335" max="3335" width="3.77734375" style="15" customWidth="1"/>
    <col min="3336" max="3584" width="9.21875" style="15"/>
    <col min="3585" max="3585" width="4" style="15" customWidth="1"/>
    <col min="3586" max="3586" width="9.21875" style="15"/>
    <col min="3587" max="3587" width="1.44140625" style="15" bestFit="1" customWidth="1"/>
    <col min="3588" max="3588" width="13.44140625" style="15" customWidth="1"/>
    <col min="3589" max="3589" width="52.77734375" style="15" customWidth="1"/>
    <col min="3590" max="3590" width="17.77734375" style="15" customWidth="1"/>
    <col min="3591" max="3591" width="3.77734375" style="15" customWidth="1"/>
    <col min="3592" max="3840" width="9.21875" style="15"/>
    <col min="3841" max="3841" width="4" style="15" customWidth="1"/>
    <col min="3842" max="3842" width="9.21875" style="15"/>
    <col min="3843" max="3843" width="1.44140625" style="15" bestFit="1" customWidth="1"/>
    <col min="3844" max="3844" width="13.44140625" style="15" customWidth="1"/>
    <col min="3845" max="3845" width="52.77734375" style="15" customWidth="1"/>
    <col min="3846" max="3846" width="17.77734375" style="15" customWidth="1"/>
    <col min="3847" max="3847" width="3.77734375" style="15" customWidth="1"/>
    <col min="3848" max="4096" width="9.21875" style="15"/>
    <col min="4097" max="4097" width="4" style="15" customWidth="1"/>
    <col min="4098" max="4098" width="9.21875" style="15"/>
    <col min="4099" max="4099" width="1.44140625" style="15" bestFit="1" customWidth="1"/>
    <col min="4100" max="4100" width="13.44140625" style="15" customWidth="1"/>
    <col min="4101" max="4101" width="52.77734375" style="15" customWidth="1"/>
    <col min="4102" max="4102" width="17.77734375" style="15" customWidth="1"/>
    <col min="4103" max="4103" width="3.77734375" style="15" customWidth="1"/>
    <col min="4104" max="4352" width="9.21875" style="15"/>
    <col min="4353" max="4353" width="4" style="15" customWidth="1"/>
    <col min="4354" max="4354" width="9.21875" style="15"/>
    <col min="4355" max="4355" width="1.44140625" style="15" bestFit="1" customWidth="1"/>
    <col min="4356" max="4356" width="13.44140625" style="15" customWidth="1"/>
    <col min="4357" max="4357" width="52.77734375" style="15" customWidth="1"/>
    <col min="4358" max="4358" width="17.77734375" style="15" customWidth="1"/>
    <col min="4359" max="4359" width="3.77734375" style="15" customWidth="1"/>
    <col min="4360" max="4608" width="9.21875" style="15"/>
    <col min="4609" max="4609" width="4" style="15" customWidth="1"/>
    <col min="4610" max="4610" width="9.21875" style="15"/>
    <col min="4611" max="4611" width="1.44140625" style="15" bestFit="1" customWidth="1"/>
    <col min="4612" max="4612" width="13.44140625" style="15" customWidth="1"/>
    <col min="4613" max="4613" width="52.77734375" style="15" customWidth="1"/>
    <col min="4614" max="4614" width="17.77734375" style="15" customWidth="1"/>
    <col min="4615" max="4615" width="3.77734375" style="15" customWidth="1"/>
    <col min="4616" max="4864" width="9.21875" style="15"/>
    <col min="4865" max="4865" width="4" style="15" customWidth="1"/>
    <col min="4866" max="4866" width="9.21875" style="15"/>
    <col min="4867" max="4867" width="1.44140625" style="15" bestFit="1" customWidth="1"/>
    <col min="4868" max="4868" width="13.44140625" style="15" customWidth="1"/>
    <col min="4869" max="4869" width="52.77734375" style="15" customWidth="1"/>
    <col min="4870" max="4870" width="17.77734375" style="15" customWidth="1"/>
    <col min="4871" max="4871" width="3.77734375" style="15" customWidth="1"/>
    <col min="4872" max="5120" width="9.21875" style="15"/>
    <col min="5121" max="5121" width="4" style="15" customWidth="1"/>
    <col min="5122" max="5122" width="9.21875" style="15"/>
    <col min="5123" max="5123" width="1.44140625" style="15" bestFit="1" customWidth="1"/>
    <col min="5124" max="5124" width="13.44140625" style="15" customWidth="1"/>
    <col min="5125" max="5125" width="52.77734375" style="15" customWidth="1"/>
    <col min="5126" max="5126" width="17.77734375" style="15" customWidth="1"/>
    <col min="5127" max="5127" width="3.77734375" style="15" customWidth="1"/>
    <col min="5128" max="5376" width="9.21875" style="15"/>
    <col min="5377" max="5377" width="4" style="15" customWidth="1"/>
    <col min="5378" max="5378" width="9.21875" style="15"/>
    <col min="5379" max="5379" width="1.44140625" style="15" bestFit="1" customWidth="1"/>
    <col min="5380" max="5380" width="13.44140625" style="15" customWidth="1"/>
    <col min="5381" max="5381" width="52.77734375" style="15" customWidth="1"/>
    <col min="5382" max="5382" width="17.77734375" style="15" customWidth="1"/>
    <col min="5383" max="5383" width="3.77734375" style="15" customWidth="1"/>
    <col min="5384" max="5632" width="9.21875" style="15"/>
    <col min="5633" max="5633" width="4" style="15" customWidth="1"/>
    <col min="5634" max="5634" width="9.21875" style="15"/>
    <col min="5635" max="5635" width="1.44140625" style="15" bestFit="1" customWidth="1"/>
    <col min="5636" max="5636" width="13.44140625" style="15" customWidth="1"/>
    <col min="5637" max="5637" width="52.77734375" style="15" customWidth="1"/>
    <col min="5638" max="5638" width="17.77734375" style="15" customWidth="1"/>
    <col min="5639" max="5639" width="3.77734375" style="15" customWidth="1"/>
    <col min="5640" max="5888" width="9.21875" style="15"/>
    <col min="5889" max="5889" width="4" style="15" customWidth="1"/>
    <col min="5890" max="5890" width="9.21875" style="15"/>
    <col min="5891" max="5891" width="1.44140625" style="15" bestFit="1" customWidth="1"/>
    <col min="5892" max="5892" width="13.44140625" style="15" customWidth="1"/>
    <col min="5893" max="5893" width="52.77734375" style="15" customWidth="1"/>
    <col min="5894" max="5894" width="17.77734375" style="15" customWidth="1"/>
    <col min="5895" max="5895" width="3.77734375" style="15" customWidth="1"/>
    <col min="5896" max="6144" width="9.21875" style="15"/>
    <col min="6145" max="6145" width="4" style="15" customWidth="1"/>
    <col min="6146" max="6146" width="9.21875" style="15"/>
    <col min="6147" max="6147" width="1.44140625" style="15" bestFit="1" customWidth="1"/>
    <col min="6148" max="6148" width="13.44140625" style="15" customWidth="1"/>
    <col min="6149" max="6149" width="52.77734375" style="15" customWidth="1"/>
    <col min="6150" max="6150" width="17.77734375" style="15" customWidth="1"/>
    <col min="6151" max="6151" width="3.77734375" style="15" customWidth="1"/>
    <col min="6152" max="6400" width="9.21875" style="15"/>
    <col min="6401" max="6401" width="4" style="15" customWidth="1"/>
    <col min="6402" max="6402" width="9.21875" style="15"/>
    <col min="6403" max="6403" width="1.44140625" style="15" bestFit="1" customWidth="1"/>
    <col min="6404" max="6404" width="13.44140625" style="15" customWidth="1"/>
    <col min="6405" max="6405" width="52.77734375" style="15" customWidth="1"/>
    <col min="6406" max="6406" width="17.77734375" style="15" customWidth="1"/>
    <col min="6407" max="6407" width="3.77734375" style="15" customWidth="1"/>
    <col min="6408" max="6656" width="9.21875" style="15"/>
    <col min="6657" max="6657" width="4" style="15" customWidth="1"/>
    <col min="6658" max="6658" width="9.21875" style="15"/>
    <col min="6659" max="6659" width="1.44140625" style="15" bestFit="1" customWidth="1"/>
    <col min="6660" max="6660" width="13.44140625" style="15" customWidth="1"/>
    <col min="6661" max="6661" width="52.77734375" style="15" customWidth="1"/>
    <col min="6662" max="6662" width="17.77734375" style="15" customWidth="1"/>
    <col min="6663" max="6663" width="3.77734375" style="15" customWidth="1"/>
    <col min="6664" max="6912" width="9.21875" style="15"/>
    <col min="6913" max="6913" width="4" style="15" customWidth="1"/>
    <col min="6914" max="6914" width="9.21875" style="15"/>
    <col min="6915" max="6915" width="1.44140625" style="15" bestFit="1" customWidth="1"/>
    <col min="6916" max="6916" width="13.44140625" style="15" customWidth="1"/>
    <col min="6917" max="6917" width="52.77734375" style="15" customWidth="1"/>
    <col min="6918" max="6918" width="17.77734375" style="15" customWidth="1"/>
    <col min="6919" max="6919" width="3.77734375" style="15" customWidth="1"/>
    <col min="6920" max="7168" width="9.21875" style="15"/>
    <col min="7169" max="7169" width="4" style="15" customWidth="1"/>
    <col min="7170" max="7170" width="9.21875" style="15"/>
    <col min="7171" max="7171" width="1.44140625" style="15" bestFit="1" customWidth="1"/>
    <col min="7172" max="7172" width="13.44140625" style="15" customWidth="1"/>
    <col min="7173" max="7173" width="52.77734375" style="15" customWidth="1"/>
    <col min="7174" max="7174" width="17.77734375" style="15" customWidth="1"/>
    <col min="7175" max="7175" width="3.77734375" style="15" customWidth="1"/>
    <col min="7176" max="7424" width="9.21875" style="15"/>
    <col min="7425" max="7425" width="4" style="15" customWidth="1"/>
    <col min="7426" max="7426" width="9.21875" style="15"/>
    <col min="7427" max="7427" width="1.44140625" style="15" bestFit="1" customWidth="1"/>
    <col min="7428" max="7428" width="13.44140625" style="15" customWidth="1"/>
    <col min="7429" max="7429" width="52.77734375" style="15" customWidth="1"/>
    <col min="7430" max="7430" width="17.77734375" style="15" customWidth="1"/>
    <col min="7431" max="7431" width="3.77734375" style="15" customWidth="1"/>
    <col min="7432" max="7680" width="9.21875" style="15"/>
    <col min="7681" max="7681" width="4" style="15" customWidth="1"/>
    <col min="7682" max="7682" width="9.21875" style="15"/>
    <col min="7683" max="7683" width="1.44140625" style="15" bestFit="1" customWidth="1"/>
    <col min="7684" max="7684" width="13.44140625" style="15" customWidth="1"/>
    <col min="7685" max="7685" width="52.77734375" style="15" customWidth="1"/>
    <col min="7686" max="7686" width="17.77734375" style="15" customWidth="1"/>
    <col min="7687" max="7687" width="3.77734375" style="15" customWidth="1"/>
    <col min="7688" max="7936" width="9.21875" style="15"/>
    <col min="7937" max="7937" width="4" style="15" customWidth="1"/>
    <col min="7938" max="7938" width="9.21875" style="15"/>
    <col min="7939" max="7939" width="1.44140625" style="15" bestFit="1" customWidth="1"/>
    <col min="7940" max="7940" width="13.44140625" style="15" customWidth="1"/>
    <col min="7941" max="7941" width="52.77734375" style="15" customWidth="1"/>
    <col min="7942" max="7942" width="17.77734375" style="15" customWidth="1"/>
    <col min="7943" max="7943" width="3.77734375" style="15" customWidth="1"/>
    <col min="7944" max="8192" width="9.21875" style="15"/>
    <col min="8193" max="8193" width="4" style="15" customWidth="1"/>
    <col min="8194" max="8194" width="9.21875" style="15"/>
    <col min="8195" max="8195" width="1.44140625" style="15" bestFit="1" customWidth="1"/>
    <col min="8196" max="8196" width="13.44140625" style="15" customWidth="1"/>
    <col min="8197" max="8197" width="52.77734375" style="15" customWidth="1"/>
    <col min="8198" max="8198" width="17.77734375" style="15" customWidth="1"/>
    <col min="8199" max="8199" width="3.77734375" style="15" customWidth="1"/>
    <col min="8200" max="8448" width="9.21875" style="15"/>
    <col min="8449" max="8449" width="4" style="15" customWidth="1"/>
    <col min="8450" max="8450" width="9.21875" style="15"/>
    <col min="8451" max="8451" width="1.44140625" style="15" bestFit="1" customWidth="1"/>
    <col min="8452" max="8452" width="13.44140625" style="15" customWidth="1"/>
    <col min="8453" max="8453" width="52.77734375" style="15" customWidth="1"/>
    <col min="8454" max="8454" width="17.77734375" style="15" customWidth="1"/>
    <col min="8455" max="8455" width="3.77734375" style="15" customWidth="1"/>
    <col min="8456" max="8704" width="9.21875" style="15"/>
    <col min="8705" max="8705" width="4" style="15" customWidth="1"/>
    <col min="8706" max="8706" width="9.21875" style="15"/>
    <col min="8707" max="8707" width="1.44140625" style="15" bestFit="1" customWidth="1"/>
    <col min="8708" max="8708" width="13.44140625" style="15" customWidth="1"/>
    <col min="8709" max="8709" width="52.77734375" style="15" customWidth="1"/>
    <col min="8710" max="8710" width="17.77734375" style="15" customWidth="1"/>
    <col min="8711" max="8711" width="3.77734375" style="15" customWidth="1"/>
    <col min="8712" max="8960" width="9.21875" style="15"/>
    <col min="8961" max="8961" width="4" style="15" customWidth="1"/>
    <col min="8962" max="8962" width="9.21875" style="15"/>
    <col min="8963" max="8963" width="1.44140625" style="15" bestFit="1" customWidth="1"/>
    <col min="8964" max="8964" width="13.44140625" style="15" customWidth="1"/>
    <col min="8965" max="8965" width="52.77734375" style="15" customWidth="1"/>
    <col min="8966" max="8966" width="17.77734375" style="15" customWidth="1"/>
    <col min="8967" max="8967" width="3.77734375" style="15" customWidth="1"/>
    <col min="8968" max="9216" width="9.21875" style="15"/>
    <col min="9217" max="9217" width="4" style="15" customWidth="1"/>
    <col min="9218" max="9218" width="9.21875" style="15"/>
    <col min="9219" max="9219" width="1.44140625" style="15" bestFit="1" customWidth="1"/>
    <col min="9220" max="9220" width="13.44140625" style="15" customWidth="1"/>
    <col min="9221" max="9221" width="52.77734375" style="15" customWidth="1"/>
    <col min="9222" max="9222" width="17.77734375" style="15" customWidth="1"/>
    <col min="9223" max="9223" width="3.77734375" style="15" customWidth="1"/>
    <col min="9224" max="9472" width="9.21875" style="15"/>
    <col min="9473" max="9473" width="4" style="15" customWidth="1"/>
    <col min="9474" max="9474" width="9.21875" style="15"/>
    <col min="9475" max="9475" width="1.44140625" style="15" bestFit="1" customWidth="1"/>
    <col min="9476" max="9476" width="13.44140625" style="15" customWidth="1"/>
    <col min="9477" max="9477" width="52.77734375" style="15" customWidth="1"/>
    <col min="9478" max="9478" width="17.77734375" style="15" customWidth="1"/>
    <col min="9479" max="9479" width="3.77734375" style="15" customWidth="1"/>
    <col min="9480" max="9728" width="9.21875" style="15"/>
    <col min="9729" max="9729" width="4" style="15" customWidth="1"/>
    <col min="9730" max="9730" width="9.21875" style="15"/>
    <col min="9731" max="9731" width="1.44140625" style="15" bestFit="1" customWidth="1"/>
    <col min="9732" max="9732" width="13.44140625" style="15" customWidth="1"/>
    <col min="9733" max="9733" width="52.77734375" style="15" customWidth="1"/>
    <col min="9734" max="9734" width="17.77734375" style="15" customWidth="1"/>
    <col min="9735" max="9735" width="3.77734375" style="15" customWidth="1"/>
    <col min="9736" max="9984" width="9.21875" style="15"/>
    <col min="9985" max="9985" width="4" style="15" customWidth="1"/>
    <col min="9986" max="9986" width="9.21875" style="15"/>
    <col min="9987" max="9987" width="1.44140625" style="15" bestFit="1" customWidth="1"/>
    <col min="9988" max="9988" width="13.44140625" style="15" customWidth="1"/>
    <col min="9989" max="9989" width="52.77734375" style="15" customWidth="1"/>
    <col min="9990" max="9990" width="17.77734375" style="15" customWidth="1"/>
    <col min="9991" max="9991" width="3.77734375" style="15" customWidth="1"/>
    <col min="9992" max="10240" width="9.21875" style="15"/>
    <col min="10241" max="10241" width="4" style="15" customWidth="1"/>
    <col min="10242" max="10242" width="9.21875" style="15"/>
    <col min="10243" max="10243" width="1.44140625" style="15" bestFit="1" customWidth="1"/>
    <col min="10244" max="10244" width="13.44140625" style="15" customWidth="1"/>
    <col min="10245" max="10245" width="52.77734375" style="15" customWidth="1"/>
    <col min="10246" max="10246" width="17.77734375" style="15" customWidth="1"/>
    <col min="10247" max="10247" width="3.77734375" style="15" customWidth="1"/>
    <col min="10248" max="10496" width="9.21875" style="15"/>
    <col min="10497" max="10497" width="4" style="15" customWidth="1"/>
    <col min="10498" max="10498" width="9.21875" style="15"/>
    <col min="10499" max="10499" width="1.44140625" style="15" bestFit="1" customWidth="1"/>
    <col min="10500" max="10500" width="13.44140625" style="15" customWidth="1"/>
    <col min="10501" max="10501" width="52.77734375" style="15" customWidth="1"/>
    <col min="10502" max="10502" width="17.77734375" style="15" customWidth="1"/>
    <col min="10503" max="10503" width="3.77734375" style="15" customWidth="1"/>
    <col min="10504" max="10752" width="9.21875" style="15"/>
    <col min="10753" max="10753" width="4" style="15" customWidth="1"/>
    <col min="10754" max="10754" width="9.21875" style="15"/>
    <col min="10755" max="10755" width="1.44140625" style="15" bestFit="1" customWidth="1"/>
    <col min="10756" max="10756" width="13.44140625" style="15" customWidth="1"/>
    <col min="10757" max="10757" width="52.77734375" style="15" customWidth="1"/>
    <col min="10758" max="10758" width="17.77734375" style="15" customWidth="1"/>
    <col min="10759" max="10759" width="3.77734375" style="15" customWidth="1"/>
    <col min="10760" max="11008" width="9.21875" style="15"/>
    <col min="11009" max="11009" width="4" style="15" customWidth="1"/>
    <col min="11010" max="11010" width="9.21875" style="15"/>
    <col min="11011" max="11011" width="1.44140625" style="15" bestFit="1" customWidth="1"/>
    <col min="11012" max="11012" width="13.44140625" style="15" customWidth="1"/>
    <col min="11013" max="11013" width="52.77734375" style="15" customWidth="1"/>
    <col min="11014" max="11014" width="17.77734375" style="15" customWidth="1"/>
    <col min="11015" max="11015" width="3.77734375" style="15" customWidth="1"/>
    <col min="11016" max="11264" width="9.21875" style="15"/>
    <col min="11265" max="11265" width="4" style="15" customWidth="1"/>
    <col min="11266" max="11266" width="9.21875" style="15"/>
    <col min="11267" max="11267" width="1.44140625" style="15" bestFit="1" customWidth="1"/>
    <col min="11268" max="11268" width="13.44140625" style="15" customWidth="1"/>
    <col min="11269" max="11269" width="52.77734375" style="15" customWidth="1"/>
    <col min="11270" max="11270" width="17.77734375" style="15" customWidth="1"/>
    <col min="11271" max="11271" width="3.77734375" style="15" customWidth="1"/>
    <col min="11272" max="11520" width="9.21875" style="15"/>
    <col min="11521" max="11521" width="4" style="15" customWidth="1"/>
    <col min="11522" max="11522" width="9.21875" style="15"/>
    <col min="11523" max="11523" width="1.44140625" style="15" bestFit="1" customWidth="1"/>
    <col min="11524" max="11524" width="13.44140625" style="15" customWidth="1"/>
    <col min="11525" max="11525" width="52.77734375" style="15" customWidth="1"/>
    <col min="11526" max="11526" width="17.77734375" style="15" customWidth="1"/>
    <col min="11527" max="11527" width="3.77734375" style="15" customWidth="1"/>
    <col min="11528" max="11776" width="9.21875" style="15"/>
    <col min="11777" max="11777" width="4" style="15" customWidth="1"/>
    <col min="11778" max="11778" width="9.21875" style="15"/>
    <col min="11779" max="11779" width="1.44140625" style="15" bestFit="1" customWidth="1"/>
    <col min="11780" max="11780" width="13.44140625" style="15" customWidth="1"/>
    <col min="11781" max="11781" width="52.77734375" style="15" customWidth="1"/>
    <col min="11782" max="11782" width="17.77734375" style="15" customWidth="1"/>
    <col min="11783" max="11783" width="3.77734375" style="15" customWidth="1"/>
    <col min="11784" max="12032" width="9.21875" style="15"/>
    <col min="12033" max="12033" width="4" style="15" customWidth="1"/>
    <col min="12034" max="12034" width="9.21875" style="15"/>
    <col min="12035" max="12035" width="1.44140625" style="15" bestFit="1" customWidth="1"/>
    <col min="12036" max="12036" width="13.44140625" style="15" customWidth="1"/>
    <col min="12037" max="12037" width="52.77734375" style="15" customWidth="1"/>
    <col min="12038" max="12038" width="17.77734375" style="15" customWidth="1"/>
    <col min="12039" max="12039" width="3.77734375" style="15" customWidth="1"/>
    <col min="12040" max="12288" width="9.21875" style="15"/>
    <col min="12289" max="12289" width="4" style="15" customWidth="1"/>
    <col min="12290" max="12290" width="9.21875" style="15"/>
    <col min="12291" max="12291" width="1.44140625" style="15" bestFit="1" customWidth="1"/>
    <col min="12292" max="12292" width="13.44140625" style="15" customWidth="1"/>
    <col min="12293" max="12293" width="52.77734375" style="15" customWidth="1"/>
    <col min="12294" max="12294" width="17.77734375" style="15" customWidth="1"/>
    <col min="12295" max="12295" width="3.77734375" style="15" customWidth="1"/>
    <col min="12296" max="12544" width="9.21875" style="15"/>
    <col min="12545" max="12545" width="4" style="15" customWidth="1"/>
    <col min="12546" max="12546" width="9.21875" style="15"/>
    <col min="12547" max="12547" width="1.44140625" style="15" bestFit="1" customWidth="1"/>
    <col min="12548" max="12548" width="13.44140625" style="15" customWidth="1"/>
    <col min="12549" max="12549" width="52.77734375" style="15" customWidth="1"/>
    <col min="12550" max="12550" width="17.77734375" style="15" customWidth="1"/>
    <col min="12551" max="12551" width="3.77734375" style="15" customWidth="1"/>
    <col min="12552" max="12800" width="9.21875" style="15"/>
    <col min="12801" max="12801" width="4" style="15" customWidth="1"/>
    <col min="12802" max="12802" width="9.21875" style="15"/>
    <col min="12803" max="12803" width="1.44140625" style="15" bestFit="1" customWidth="1"/>
    <col min="12804" max="12804" width="13.44140625" style="15" customWidth="1"/>
    <col min="12805" max="12805" width="52.77734375" style="15" customWidth="1"/>
    <col min="12806" max="12806" width="17.77734375" style="15" customWidth="1"/>
    <col min="12807" max="12807" width="3.77734375" style="15" customWidth="1"/>
    <col min="12808" max="13056" width="9.21875" style="15"/>
    <col min="13057" max="13057" width="4" style="15" customWidth="1"/>
    <col min="13058" max="13058" width="9.21875" style="15"/>
    <col min="13059" max="13059" width="1.44140625" style="15" bestFit="1" customWidth="1"/>
    <col min="13060" max="13060" width="13.44140625" style="15" customWidth="1"/>
    <col min="13061" max="13061" width="52.77734375" style="15" customWidth="1"/>
    <col min="13062" max="13062" width="17.77734375" style="15" customWidth="1"/>
    <col min="13063" max="13063" width="3.77734375" style="15" customWidth="1"/>
    <col min="13064" max="13312" width="9.21875" style="15"/>
    <col min="13313" max="13313" width="4" style="15" customWidth="1"/>
    <col min="13314" max="13314" width="9.21875" style="15"/>
    <col min="13315" max="13315" width="1.44140625" style="15" bestFit="1" customWidth="1"/>
    <col min="13316" max="13316" width="13.44140625" style="15" customWidth="1"/>
    <col min="13317" max="13317" width="52.77734375" style="15" customWidth="1"/>
    <col min="13318" max="13318" width="17.77734375" style="15" customWidth="1"/>
    <col min="13319" max="13319" width="3.77734375" style="15" customWidth="1"/>
    <col min="13320" max="13568" width="9.21875" style="15"/>
    <col min="13569" max="13569" width="4" style="15" customWidth="1"/>
    <col min="13570" max="13570" width="9.21875" style="15"/>
    <col min="13571" max="13571" width="1.44140625" style="15" bestFit="1" customWidth="1"/>
    <col min="13572" max="13572" width="13.44140625" style="15" customWidth="1"/>
    <col min="13573" max="13573" width="52.77734375" style="15" customWidth="1"/>
    <col min="13574" max="13574" width="17.77734375" style="15" customWidth="1"/>
    <col min="13575" max="13575" width="3.77734375" style="15" customWidth="1"/>
    <col min="13576" max="13824" width="9.21875" style="15"/>
    <col min="13825" max="13825" width="4" style="15" customWidth="1"/>
    <col min="13826" max="13826" width="9.21875" style="15"/>
    <col min="13827" max="13827" width="1.44140625" style="15" bestFit="1" customWidth="1"/>
    <col min="13828" max="13828" width="13.44140625" style="15" customWidth="1"/>
    <col min="13829" max="13829" width="52.77734375" style="15" customWidth="1"/>
    <col min="13830" max="13830" width="17.77734375" style="15" customWidth="1"/>
    <col min="13831" max="13831" width="3.77734375" style="15" customWidth="1"/>
    <col min="13832" max="14080" width="9.21875" style="15"/>
    <col min="14081" max="14081" width="4" style="15" customWidth="1"/>
    <col min="14082" max="14082" width="9.21875" style="15"/>
    <col min="14083" max="14083" width="1.44140625" style="15" bestFit="1" customWidth="1"/>
    <col min="14084" max="14084" width="13.44140625" style="15" customWidth="1"/>
    <col min="14085" max="14085" width="52.77734375" style="15" customWidth="1"/>
    <col min="14086" max="14086" width="17.77734375" style="15" customWidth="1"/>
    <col min="14087" max="14087" width="3.77734375" style="15" customWidth="1"/>
    <col min="14088" max="14336" width="9.21875" style="15"/>
    <col min="14337" max="14337" width="4" style="15" customWidth="1"/>
    <col min="14338" max="14338" width="9.21875" style="15"/>
    <col min="14339" max="14339" width="1.44140625" style="15" bestFit="1" customWidth="1"/>
    <col min="14340" max="14340" width="13.44140625" style="15" customWidth="1"/>
    <col min="14341" max="14341" width="52.77734375" style="15" customWidth="1"/>
    <col min="14342" max="14342" width="17.77734375" style="15" customWidth="1"/>
    <col min="14343" max="14343" width="3.77734375" style="15" customWidth="1"/>
    <col min="14344" max="14592" width="9.21875" style="15"/>
    <col min="14593" max="14593" width="4" style="15" customWidth="1"/>
    <col min="14594" max="14594" width="9.21875" style="15"/>
    <col min="14595" max="14595" width="1.44140625" style="15" bestFit="1" customWidth="1"/>
    <col min="14596" max="14596" width="13.44140625" style="15" customWidth="1"/>
    <col min="14597" max="14597" width="52.77734375" style="15" customWidth="1"/>
    <col min="14598" max="14598" width="17.77734375" style="15" customWidth="1"/>
    <col min="14599" max="14599" width="3.77734375" style="15" customWidth="1"/>
    <col min="14600" max="14848" width="9.21875" style="15"/>
    <col min="14849" max="14849" width="4" style="15" customWidth="1"/>
    <col min="14850" max="14850" width="9.21875" style="15"/>
    <col min="14851" max="14851" width="1.44140625" style="15" bestFit="1" customWidth="1"/>
    <col min="14852" max="14852" width="13.44140625" style="15" customWidth="1"/>
    <col min="14853" max="14853" width="52.77734375" style="15" customWidth="1"/>
    <col min="14854" max="14854" width="17.77734375" style="15" customWidth="1"/>
    <col min="14855" max="14855" width="3.77734375" style="15" customWidth="1"/>
    <col min="14856" max="15104" width="9.21875" style="15"/>
    <col min="15105" max="15105" width="4" style="15" customWidth="1"/>
    <col min="15106" max="15106" width="9.21875" style="15"/>
    <col min="15107" max="15107" width="1.44140625" style="15" bestFit="1" customWidth="1"/>
    <col min="15108" max="15108" width="13.44140625" style="15" customWidth="1"/>
    <col min="15109" max="15109" width="52.77734375" style="15" customWidth="1"/>
    <col min="15110" max="15110" width="17.77734375" style="15" customWidth="1"/>
    <col min="15111" max="15111" width="3.77734375" style="15" customWidth="1"/>
    <col min="15112" max="15360" width="9.21875" style="15"/>
    <col min="15361" max="15361" width="4" style="15" customWidth="1"/>
    <col min="15362" max="15362" width="9.21875" style="15"/>
    <col min="15363" max="15363" width="1.44140625" style="15" bestFit="1" customWidth="1"/>
    <col min="15364" max="15364" width="13.44140625" style="15" customWidth="1"/>
    <col min="15365" max="15365" width="52.77734375" style="15" customWidth="1"/>
    <col min="15366" max="15366" width="17.77734375" style="15" customWidth="1"/>
    <col min="15367" max="15367" width="3.77734375" style="15" customWidth="1"/>
    <col min="15368" max="15616" width="9.21875" style="15"/>
    <col min="15617" max="15617" width="4" style="15" customWidth="1"/>
    <col min="15618" max="15618" width="9.21875" style="15"/>
    <col min="15619" max="15619" width="1.44140625" style="15" bestFit="1" customWidth="1"/>
    <col min="15620" max="15620" width="13.44140625" style="15" customWidth="1"/>
    <col min="15621" max="15621" width="52.77734375" style="15" customWidth="1"/>
    <col min="15622" max="15622" width="17.77734375" style="15" customWidth="1"/>
    <col min="15623" max="15623" width="3.77734375" style="15" customWidth="1"/>
    <col min="15624" max="15872" width="9.21875" style="15"/>
    <col min="15873" max="15873" width="4" style="15" customWidth="1"/>
    <col min="15874" max="15874" width="9.21875" style="15"/>
    <col min="15875" max="15875" width="1.44140625" style="15" bestFit="1" customWidth="1"/>
    <col min="15876" max="15876" width="13.44140625" style="15" customWidth="1"/>
    <col min="15877" max="15877" width="52.77734375" style="15" customWidth="1"/>
    <col min="15878" max="15878" width="17.77734375" style="15" customWidth="1"/>
    <col min="15879" max="15879" width="3.77734375" style="15" customWidth="1"/>
    <col min="15880" max="16128" width="9.21875" style="15"/>
    <col min="16129" max="16129" width="4" style="15" customWidth="1"/>
    <col min="16130" max="16130" width="9.21875" style="15"/>
    <col min="16131" max="16131" width="1.44140625" style="15" bestFit="1" customWidth="1"/>
    <col min="16132" max="16132" width="13.44140625" style="15" customWidth="1"/>
    <col min="16133" max="16133" width="52.77734375" style="15" customWidth="1"/>
    <col min="16134" max="16134" width="17.77734375" style="15" customWidth="1"/>
    <col min="16135" max="16135" width="3.77734375" style="15" customWidth="1"/>
    <col min="16136" max="16384" width="9.21875" style="15"/>
  </cols>
  <sheetData>
    <row r="4" spans="2:6" ht="15" x14ac:dyDescent="0.35">
      <c r="F4" s="36" t="s">
        <v>593</v>
      </c>
    </row>
    <row r="5" spans="2:6" x14ac:dyDescent="0.3">
      <c r="B5" s="16" t="s">
        <v>0</v>
      </c>
      <c r="C5" s="16" t="s">
        <v>1</v>
      </c>
      <c r="D5" s="32" t="s">
        <v>2</v>
      </c>
    </row>
    <row r="6" spans="2:6" x14ac:dyDescent="0.3">
      <c r="B6" s="16" t="s">
        <v>3</v>
      </c>
      <c r="C6" s="16" t="s">
        <v>1</v>
      </c>
      <c r="D6" s="16" t="s">
        <v>4</v>
      </c>
    </row>
    <row r="7" spans="2:6" ht="15" customHeight="1" x14ac:dyDescent="0.3">
      <c r="B7" s="16" t="s">
        <v>5</v>
      </c>
      <c r="C7" s="16" t="s">
        <v>1</v>
      </c>
      <c r="D7" s="32" t="s">
        <v>600</v>
      </c>
    </row>
    <row r="8" spans="2:6" x14ac:dyDescent="0.3">
      <c r="B8" s="17"/>
      <c r="C8" s="17"/>
      <c r="D8" s="17"/>
    </row>
    <row r="9" spans="2:6" x14ac:dyDescent="0.3">
      <c r="B9" s="17" t="s">
        <v>6</v>
      </c>
      <c r="C9" s="17"/>
      <c r="D9" s="17"/>
    </row>
    <row r="10" spans="2:6" x14ac:dyDescent="0.3">
      <c r="B10" s="33" t="s">
        <v>7</v>
      </c>
      <c r="C10" s="18"/>
      <c r="D10" s="18"/>
      <c r="E10" s="18"/>
      <c r="F10" s="19"/>
    </row>
    <row r="11" spans="2:6" x14ac:dyDescent="0.3">
      <c r="B11" s="34" t="s">
        <v>8</v>
      </c>
      <c r="C11" s="20"/>
      <c r="D11" s="18"/>
      <c r="E11" s="18"/>
      <c r="F11" s="19"/>
    </row>
    <row r="12" spans="2:6" x14ac:dyDescent="0.3">
      <c r="B12" s="34" t="s">
        <v>9</v>
      </c>
      <c r="C12" s="20"/>
      <c r="D12" s="18"/>
      <c r="E12" s="18"/>
      <c r="F12" s="19"/>
    </row>
    <row r="13" spans="2:6" x14ac:dyDescent="0.3">
      <c r="B13" s="35" t="s">
        <v>10</v>
      </c>
      <c r="C13" s="16"/>
      <c r="D13" s="17"/>
    </row>
    <row r="14" spans="2:6" x14ac:dyDescent="0.3">
      <c r="B14" s="16"/>
      <c r="C14" s="16"/>
      <c r="D14" s="17"/>
    </row>
    <row r="15" spans="2:6" x14ac:dyDescent="0.3">
      <c r="B15" s="16" t="s">
        <v>11</v>
      </c>
      <c r="C15" s="16" t="s">
        <v>1</v>
      </c>
      <c r="D15" s="32" t="s">
        <v>518</v>
      </c>
    </row>
    <row r="16" spans="2:6" x14ac:dyDescent="0.3">
      <c r="C16" s="16"/>
      <c r="D16" s="35" t="s">
        <v>519</v>
      </c>
    </row>
    <row r="17" spans="2:7" x14ac:dyDescent="0.3">
      <c r="B17" s="17"/>
      <c r="C17" s="17"/>
      <c r="D17" s="17"/>
    </row>
    <row r="18" spans="2:7" x14ac:dyDescent="0.3">
      <c r="B18" s="17"/>
      <c r="C18" s="17"/>
      <c r="D18" s="17"/>
    </row>
    <row r="19" spans="2:7" x14ac:dyDescent="0.3">
      <c r="B19" s="17" t="s">
        <v>12</v>
      </c>
      <c r="C19" s="17"/>
      <c r="D19" s="17"/>
    </row>
    <row r="20" spans="2:7" ht="38.549999999999997" customHeight="1" x14ac:dyDescent="0.3">
      <c r="B20" s="468" t="s">
        <v>13</v>
      </c>
      <c r="C20" s="468"/>
      <c r="D20" s="468"/>
      <c r="E20" s="468"/>
      <c r="F20" s="468"/>
    </row>
    <row r="21" spans="2:7" x14ac:dyDescent="0.3">
      <c r="B21" s="17"/>
      <c r="C21" s="17"/>
      <c r="D21" s="17"/>
    </row>
    <row r="22" spans="2:7" x14ac:dyDescent="0.3">
      <c r="B22" s="21" t="s">
        <v>14</v>
      </c>
      <c r="C22" s="21"/>
      <c r="D22" s="21"/>
    </row>
    <row r="23" spans="2:7" x14ac:dyDescent="0.3">
      <c r="B23" s="22" t="s">
        <v>15</v>
      </c>
      <c r="C23" s="22"/>
      <c r="D23" s="23">
        <f>RECAP!E19</f>
        <v>561637600</v>
      </c>
      <c r="F23" s="24"/>
    </row>
    <row r="24" spans="2:7" x14ac:dyDescent="0.3">
      <c r="B24" s="25"/>
      <c r="C24" s="25"/>
      <c r="D24" s="25"/>
      <c r="E24" s="26"/>
    </row>
    <row r="25" spans="2:7" x14ac:dyDescent="0.3">
      <c r="B25" s="225" t="s">
        <v>16</v>
      </c>
      <c r="C25" s="225"/>
      <c r="D25" s="225"/>
      <c r="E25" s="226"/>
      <c r="F25" s="226"/>
      <c r="G25" s="226"/>
    </row>
    <row r="26" spans="2:7" x14ac:dyDescent="0.3">
      <c r="B26" s="227" t="s">
        <v>525</v>
      </c>
      <c r="C26" s="227"/>
      <c r="D26" s="227"/>
      <c r="E26" s="226"/>
      <c r="F26" s="226"/>
      <c r="G26" s="226"/>
    </row>
    <row r="27" spans="2:7" x14ac:dyDescent="0.3">
      <c r="B27" s="227" t="s">
        <v>526</v>
      </c>
      <c r="C27" s="227"/>
      <c r="D27" s="227"/>
      <c r="E27" s="226"/>
      <c r="F27" s="226"/>
      <c r="G27" s="226"/>
    </row>
    <row r="28" spans="2:7" x14ac:dyDescent="0.3">
      <c r="B28" s="227" t="s">
        <v>527</v>
      </c>
      <c r="C28" s="227"/>
      <c r="D28" s="227"/>
      <c r="E28" s="226"/>
      <c r="F28" s="226"/>
      <c r="G28" s="226"/>
    </row>
    <row r="29" spans="2:7" x14ac:dyDescent="0.3">
      <c r="B29" s="225" t="s">
        <v>528</v>
      </c>
      <c r="C29" s="225"/>
      <c r="D29" s="225"/>
      <c r="E29" s="226"/>
      <c r="F29" s="226"/>
      <c r="G29" s="226"/>
    </row>
    <row r="30" spans="2:7" x14ac:dyDescent="0.3">
      <c r="B30" s="225" t="s">
        <v>529</v>
      </c>
      <c r="C30" s="225"/>
      <c r="D30" s="225"/>
      <c r="E30" s="226"/>
      <c r="F30" s="226"/>
      <c r="G30" s="226"/>
    </row>
    <row r="31" spans="2:7" x14ac:dyDescent="0.3">
      <c r="B31" s="225" t="s">
        <v>530</v>
      </c>
      <c r="C31" s="225"/>
      <c r="D31" s="225"/>
      <c r="E31" s="226"/>
      <c r="F31" s="226"/>
      <c r="G31" s="226"/>
    </row>
    <row r="32" spans="2:7" x14ac:dyDescent="0.3">
      <c r="B32" s="225" t="s">
        <v>531</v>
      </c>
      <c r="C32" s="225"/>
      <c r="D32" s="225"/>
      <c r="E32" s="226"/>
      <c r="F32" s="226"/>
      <c r="G32" s="226"/>
    </row>
    <row r="33" spans="2:7" x14ac:dyDescent="0.3">
      <c r="B33" s="225" t="s">
        <v>532</v>
      </c>
      <c r="C33" s="225"/>
      <c r="D33" s="225"/>
      <c r="E33" s="226"/>
      <c r="F33" s="226"/>
      <c r="G33" s="226"/>
    </row>
    <row r="34" spans="2:7" x14ac:dyDescent="0.3">
      <c r="B34" s="227" t="s">
        <v>533</v>
      </c>
      <c r="C34" s="227"/>
      <c r="D34" s="227"/>
      <c r="E34" s="226"/>
      <c r="F34" s="226"/>
      <c r="G34" s="226"/>
    </row>
    <row r="35" spans="2:7" x14ac:dyDescent="0.3">
      <c r="B35" s="227" t="s">
        <v>534</v>
      </c>
      <c r="C35" s="227"/>
      <c r="D35" s="227"/>
      <c r="E35" s="226"/>
      <c r="F35" s="226"/>
      <c r="G35" s="226"/>
    </row>
    <row r="36" spans="2:7" x14ac:dyDescent="0.3">
      <c r="B36" s="227" t="s">
        <v>535</v>
      </c>
      <c r="C36" s="227"/>
      <c r="D36" s="227"/>
      <c r="E36" s="226"/>
      <c r="F36" s="226"/>
      <c r="G36" s="226"/>
    </row>
    <row r="37" spans="2:7" x14ac:dyDescent="0.3">
      <c r="B37" s="227" t="s">
        <v>523</v>
      </c>
      <c r="C37" s="227"/>
      <c r="D37" s="227"/>
      <c r="E37" s="226"/>
      <c r="F37" s="226"/>
      <c r="G37" s="226"/>
    </row>
    <row r="38" spans="2:7" x14ac:dyDescent="0.3">
      <c r="B38" s="227" t="s">
        <v>524</v>
      </c>
      <c r="C38" s="227"/>
      <c r="D38" s="227"/>
      <c r="E38" s="226"/>
      <c r="F38" s="226"/>
      <c r="G38" s="226"/>
    </row>
    <row r="39" spans="2:7" x14ac:dyDescent="0.3">
      <c r="B39" s="17"/>
      <c r="C39" s="17"/>
      <c r="D39" s="17"/>
    </row>
    <row r="40" spans="2:7" ht="30" customHeight="1" x14ac:dyDescent="0.3">
      <c r="B40" s="468" t="s">
        <v>17</v>
      </c>
      <c r="C40" s="468"/>
      <c r="D40" s="468"/>
      <c r="E40" s="468"/>
      <c r="F40" s="468"/>
    </row>
    <row r="41" spans="2:7" x14ac:dyDescent="0.3">
      <c r="B41" s="17"/>
      <c r="C41" s="17"/>
      <c r="D41" s="17"/>
    </row>
    <row r="42" spans="2:7" x14ac:dyDescent="0.3">
      <c r="B42" s="17" t="s">
        <v>18</v>
      </c>
      <c r="C42" s="17"/>
      <c r="D42" s="17"/>
    </row>
    <row r="43" spans="2:7" x14ac:dyDescent="0.3">
      <c r="B43" s="16" t="s">
        <v>19</v>
      </c>
      <c r="C43" s="16"/>
      <c r="D43" s="16"/>
    </row>
    <row r="44" spans="2:7" x14ac:dyDescent="0.3">
      <c r="B44" s="17"/>
      <c r="C44" s="17"/>
      <c r="D44" s="17"/>
    </row>
    <row r="45" spans="2:7" x14ac:dyDescent="0.3">
      <c r="B45" s="17"/>
      <c r="C45" s="17"/>
      <c r="D45" s="17"/>
    </row>
    <row r="46" spans="2:7" x14ac:dyDescent="0.3">
      <c r="B46" s="17"/>
      <c r="C46" s="17"/>
      <c r="D46" s="17"/>
    </row>
    <row r="47" spans="2:7" x14ac:dyDescent="0.3">
      <c r="B47" s="17"/>
      <c r="C47" s="17"/>
      <c r="D47" s="17"/>
    </row>
    <row r="48" spans="2:7" x14ac:dyDescent="0.3">
      <c r="B48" s="8" t="s">
        <v>20</v>
      </c>
      <c r="C48" s="27"/>
      <c r="D48" s="27"/>
    </row>
    <row r="49" spans="2:4" x14ac:dyDescent="0.3">
      <c r="B49" s="9" t="s">
        <v>21</v>
      </c>
      <c r="C49" s="9"/>
      <c r="D49" s="9"/>
    </row>
  </sheetData>
  <mergeCells count="2">
    <mergeCell ref="B20:F20"/>
    <mergeCell ref="B40:F4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0C58-1C67-4B26-A85A-82886F7F1853}">
  <dimension ref="B1:V168"/>
  <sheetViews>
    <sheetView showGridLines="0" zoomScale="70" zoomScaleNormal="70" workbookViewId="0">
      <selection activeCell="U16" sqref="U16"/>
    </sheetView>
  </sheetViews>
  <sheetFormatPr defaultRowHeight="15" customHeight="1" x14ac:dyDescent="0.3"/>
  <cols>
    <col min="1" max="1" width="3.77734375" customWidth="1"/>
    <col min="2" max="2" width="4.77734375" customWidth="1"/>
    <col min="3" max="3" width="44.77734375" bestFit="1" customWidth="1"/>
    <col min="4" max="4" width="24" customWidth="1"/>
    <col min="5" max="5" width="8.77734375" style="94" bestFit="1" customWidth="1"/>
    <col min="6" max="6" width="8.44140625" bestFit="1" customWidth="1"/>
    <col min="7" max="7" width="17.5546875" style="102" customWidth="1"/>
    <col min="8" max="8" width="18" style="102" bestFit="1" customWidth="1"/>
    <col min="9" max="9" width="3.77734375" customWidth="1"/>
    <col min="10" max="10" width="14.88671875" hidden="1" customWidth="1"/>
    <col min="11" max="11" width="20.21875" hidden="1" customWidth="1"/>
    <col min="12" max="13" width="19.5546875" style="127" hidden="1" customWidth="1"/>
    <col min="14" max="14" width="19.5546875" style="64" hidden="1" customWidth="1"/>
    <col min="15" max="15" width="9.44140625" hidden="1" customWidth="1"/>
    <col min="16" max="17" width="6" hidden="1" customWidth="1"/>
    <col min="18" max="18" width="17.5546875" bestFit="1" customWidth="1"/>
    <col min="19" max="19" width="13.109375" bestFit="1" customWidth="1"/>
    <col min="20" max="20" width="15.77734375" bestFit="1" customWidth="1"/>
    <col min="21" max="21" width="14.5546875" bestFit="1" customWidth="1"/>
    <col min="22" max="22" width="15.77734375" bestFit="1" customWidth="1"/>
    <col min="23" max="23" width="11.5546875" bestFit="1" customWidth="1"/>
    <col min="24" max="24" width="8.77734375" customWidth="1"/>
    <col min="25" max="25" width="15" customWidth="1"/>
    <col min="26" max="36" width="8.77734375" customWidth="1"/>
    <col min="260" max="260" width="3.77734375" customWidth="1"/>
    <col min="261" max="261" width="7.5546875" customWidth="1"/>
    <col min="262" max="262" width="44.77734375" bestFit="1" customWidth="1"/>
    <col min="263" max="263" width="7.77734375" bestFit="1" customWidth="1"/>
    <col min="264" max="264" width="7.21875" bestFit="1" customWidth="1"/>
    <col min="265" max="266" width="22.21875" customWidth="1"/>
    <col min="267" max="267" width="12.77734375" bestFit="1" customWidth="1"/>
    <col min="268" max="268" width="13.44140625" bestFit="1" customWidth="1"/>
    <col min="516" max="516" width="3.77734375" customWidth="1"/>
    <col min="517" max="517" width="7.5546875" customWidth="1"/>
    <col min="518" max="518" width="44.77734375" bestFit="1" customWidth="1"/>
    <col min="519" max="519" width="7.77734375" bestFit="1" customWidth="1"/>
    <col min="520" max="520" width="7.21875" bestFit="1" customWidth="1"/>
    <col min="521" max="522" width="22.21875" customWidth="1"/>
    <col min="523" max="523" width="12.77734375" bestFit="1" customWidth="1"/>
    <col min="524" max="524" width="13.44140625" bestFit="1" customWidth="1"/>
    <col min="772" max="772" width="3.77734375" customWidth="1"/>
    <col min="773" max="773" width="7.5546875" customWidth="1"/>
    <col min="774" max="774" width="44.77734375" bestFit="1" customWidth="1"/>
    <col min="775" max="775" width="7.77734375" bestFit="1" customWidth="1"/>
    <col min="776" max="776" width="7.21875" bestFit="1" customWidth="1"/>
    <col min="777" max="778" width="22.21875" customWidth="1"/>
    <col min="779" max="779" width="12.77734375" bestFit="1" customWidth="1"/>
    <col min="780" max="780" width="13.44140625" bestFit="1" customWidth="1"/>
    <col min="1028" max="1028" width="3.77734375" customWidth="1"/>
    <col min="1029" max="1029" width="7.5546875" customWidth="1"/>
    <col min="1030" max="1030" width="44.77734375" bestFit="1" customWidth="1"/>
    <col min="1031" max="1031" width="7.77734375" bestFit="1" customWidth="1"/>
    <col min="1032" max="1032" width="7.21875" bestFit="1" customWidth="1"/>
    <col min="1033" max="1034" width="22.21875" customWidth="1"/>
    <col min="1035" max="1035" width="12.77734375" bestFit="1" customWidth="1"/>
    <col min="1036" max="1036" width="13.44140625" bestFit="1" customWidth="1"/>
    <col min="1284" max="1284" width="3.77734375" customWidth="1"/>
    <col min="1285" max="1285" width="7.5546875" customWidth="1"/>
    <col min="1286" max="1286" width="44.77734375" bestFit="1" customWidth="1"/>
    <col min="1287" max="1287" width="7.77734375" bestFit="1" customWidth="1"/>
    <col min="1288" max="1288" width="7.21875" bestFit="1" customWidth="1"/>
    <col min="1289" max="1290" width="22.21875" customWidth="1"/>
    <col min="1291" max="1291" width="12.77734375" bestFit="1" customWidth="1"/>
    <col min="1292" max="1292" width="13.44140625" bestFit="1" customWidth="1"/>
    <col min="1540" max="1540" width="3.77734375" customWidth="1"/>
    <col min="1541" max="1541" width="7.5546875" customWidth="1"/>
    <col min="1542" max="1542" width="44.77734375" bestFit="1" customWidth="1"/>
    <col min="1543" max="1543" width="7.77734375" bestFit="1" customWidth="1"/>
    <col min="1544" max="1544" width="7.21875" bestFit="1" customWidth="1"/>
    <col min="1545" max="1546" width="22.21875" customWidth="1"/>
    <col min="1547" max="1547" width="12.77734375" bestFit="1" customWidth="1"/>
    <col min="1548" max="1548" width="13.44140625" bestFit="1" customWidth="1"/>
    <col min="1796" max="1796" width="3.77734375" customWidth="1"/>
    <col min="1797" max="1797" width="7.5546875" customWidth="1"/>
    <col min="1798" max="1798" width="44.77734375" bestFit="1" customWidth="1"/>
    <col min="1799" max="1799" width="7.77734375" bestFit="1" customWidth="1"/>
    <col min="1800" max="1800" width="7.21875" bestFit="1" customWidth="1"/>
    <col min="1801" max="1802" width="22.21875" customWidth="1"/>
    <col min="1803" max="1803" width="12.77734375" bestFit="1" customWidth="1"/>
    <col min="1804" max="1804" width="13.44140625" bestFit="1" customWidth="1"/>
    <col min="2052" max="2052" width="3.77734375" customWidth="1"/>
    <col min="2053" max="2053" width="7.5546875" customWidth="1"/>
    <col min="2054" max="2054" width="44.77734375" bestFit="1" customWidth="1"/>
    <col min="2055" max="2055" width="7.77734375" bestFit="1" customWidth="1"/>
    <col min="2056" max="2056" width="7.21875" bestFit="1" customWidth="1"/>
    <col min="2057" max="2058" width="22.21875" customWidth="1"/>
    <col min="2059" max="2059" width="12.77734375" bestFit="1" customWidth="1"/>
    <col min="2060" max="2060" width="13.44140625" bestFit="1" customWidth="1"/>
    <col min="2308" max="2308" width="3.77734375" customWidth="1"/>
    <col min="2309" max="2309" width="7.5546875" customWidth="1"/>
    <col min="2310" max="2310" width="44.77734375" bestFit="1" customWidth="1"/>
    <col min="2311" max="2311" width="7.77734375" bestFit="1" customWidth="1"/>
    <col min="2312" max="2312" width="7.21875" bestFit="1" customWidth="1"/>
    <col min="2313" max="2314" width="22.21875" customWidth="1"/>
    <col min="2315" max="2315" width="12.77734375" bestFit="1" customWidth="1"/>
    <col min="2316" max="2316" width="13.44140625" bestFit="1" customWidth="1"/>
    <col min="2564" max="2564" width="3.77734375" customWidth="1"/>
    <col min="2565" max="2565" width="7.5546875" customWidth="1"/>
    <col min="2566" max="2566" width="44.77734375" bestFit="1" customWidth="1"/>
    <col min="2567" max="2567" width="7.77734375" bestFit="1" customWidth="1"/>
    <col min="2568" max="2568" width="7.21875" bestFit="1" customWidth="1"/>
    <col min="2569" max="2570" width="22.21875" customWidth="1"/>
    <col min="2571" max="2571" width="12.77734375" bestFit="1" customWidth="1"/>
    <col min="2572" max="2572" width="13.44140625" bestFit="1" customWidth="1"/>
    <col min="2820" max="2820" width="3.77734375" customWidth="1"/>
    <col min="2821" max="2821" width="7.5546875" customWidth="1"/>
    <col min="2822" max="2822" width="44.77734375" bestFit="1" customWidth="1"/>
    <col min="2823" max="2823" width="7.77734375" bestFit="1" customWidth="1"/>
    <col min="2824" max="2824" width="7.21875" bestFit="1" customWidth="1"/>
    <col min="2825" max="2826" width="22.21875" customWidth="1"/>
    <col min="2827" max="2827" width="12.77734375" bestFit="1" customWidth="1"/>
    <col min="2828" max="2828" width="13.44140625" bestFit="1" customWidth="1"/>
    <col min="3076" max="3076" width="3.77734375" customWidth="1"/>
    <col min="3077" max="3077" width="7.5546875" customWidth="1"/>
    <col min="3078" max="3078" width="44.77734375" bestFit="1" customWidth="1"/>
    <col min="3079" max="3079" width="7.77734375" bestFit="1" customWidth="1"/>
    <col min="3080" max="3080" width="7.21875" bestFit="1" customWidth="1"/>
    <col min="3081" max="3082" width="22.21875" customWidth="1"/>
    <col min="3083" max="3083" width="12.77734375" bestFit="1" customWidth="1"/>
    <col min="3084" max="3084" width="13.44140625" bestFit="1" customWidth="1"/>
    <col min="3332" max="3332" width="3.77734375" customWidth="1"/>
    <col min="3333" max="3333" width="7.5546875" customWidth="1"/>
    <col min="3334" max="3334" width="44.77734375" bestFit="1" customWidth="1"/>
    <col min="3335" max="3335" width="7.77734375" bestFit="1" customWidth="1"/>
    <col min="3336" max="3336" width="7.21875" bestFit="1" customWidth="1"/>
    <col min="3337" max="3338" width="22.21875" customWidth="1"/>
    <col min="3339" max="3339" width="12.77734375" bestFit="1" customWidth="1"/>
    <col min="3340" max="3340" width="13.44140625" bestFit="1" customWidth="1"/>
    <col min="3588" max="3588" width="3.77734375" customWidth="1"/>
    <col min="3589" max="3589" width="7.5546875" customWidth="1"/>
    <col min="3590" max="3590" width="44.77734375" bestFit="1" customWidth="1"/>
    <col min="3591" max="3591" width="7.77734375" bestFit="1" customWidth="1"/>
    <col min="3592" max="3592" width="7.21875" bestFit="1" customWidth="1"/>
    <col min="3593" max="3594" width="22.21875" customWidth="1"/>
    <col min="3595" max="3595" width="12.77734375" bestFit="1" customWidth="1"/>
    <col min="3596" max="3596" width="13.44140625" bestFit="1" customWidth="1"/>
    <col min="3844" max="3844" width="3.77734375" customWidth="1"/>
    <col min="3845" max="3845" width="7.5546875" customWidth="1"/>
    <col min="3846" max="3846" width="44.77734375" bestFit="1" customWidth="1"/>
    <col min="3847" max="3847" width="7.77734375" bestFit="1" customWidth="1"/>
    <col min="3848" max="3848" width="7.21875" bestFit="1" customWidth="1"/>
    <col min="3849" max="3850" width="22.21875" customWidth="1"/>
    <col min="3851" max="3851" width="12.77734375" bestFit="1" customWidth="1"/>
    <col min="3852" max="3852" width="13.44140625" bestFit="1" customWidth="1"/>
    <col min="4100" max="4100" width="3.77734375" customWidth="1"/>
    <col min="4101" max="4101" width="7.5546875" customWidth="1"/>
    <col min="4102" max="4102" width="44.77734375" bestFit="1" customWidth="1"/>
    <col min="4103" max="4103" width="7.77734375" bestFit="1" customWidth="1"/>
    <col min="4104" max="4104" width="7.21875" bestFit="1" customWidth="1"/>
    <col min="4105" max="4106" width="22.21875" customWidth="1"/>
    <col min="4107" max="4107" width="12.77734375" bestFit="1" customWidth="1"/>
    <col min="4108" max="4108" width="13.44140625" bestFit="1" customWidth="1"/>
    <col min="4356" max="4356" width="3.77734375" customWidth="1"/>
    <col min="4357" max="4357" width="7.5546875" customWidth="1"/>
    <col min="4358" max="4358" width="44.77734375" bestFit="1" customWidth="1"/>
    <col min="4359" max="4359" width="7.77734375" bestFit="1" customWidth="1"/>
    <col min="4360" max="4360" width="7.21875" bestFit="1" customWidth="1"/>
    <col min="4361" max="4362" width="22.21875" customWidth="1"/>
    <col min="4363" max="4363" width="12.77734375" bestFit="1" customWidth="1"/>
    <col min="4364" max="4364" width="13.44140625" bestFit="1" customWidth="1"/>
    <col min="4612" max="4612" width="3.77734375" customWidth="1"/>
    <col min="4613" max="4613" width="7.5546875" customWidth="1"/>
    <col min="4614" max="4614" width="44.77734375" bestFit="1" customWidth="1"/>
    <col min="4615" max="4615" width="7.77734375" bestFit="1" customWidth="1"/>
    <col min="4616" max="4616" width="7.21875" bestFit="1" customWidth="1"/>
    <col min="4617" max="4618" width="22.21875" customWidth="1"/>
    <col min="4619" max="4619" width="12.77734375" bestFit="1" customWidth="1"/>
    <col min="4620" max="4620" width="13.44140625" bestFit="1" customWidth="1"/>
    <col min="4868" max="4868" width="3.77734375" customWidth="1"/>
    <col min="4869" max="4869" width="7.5546875" customWidth="1"/>
    <col min="4870" max="4870" width="44.77734375" bestFit="1" customWidth="1"/>
    <col min="4871" max="4871" width="7.77734375" bestFit="1" customWidth="1"/>
    <col min="4872" max="4872" width="7.21875" bestFit="1" customWidth="1"/>
    <col min="4873" max="4874" width="22.21875" customWidth="1"/>
    <col min="4875" max="4875" width="12.77734375" bestFit="1" customWidth="1"/>
    <col min="4876" max="4876" width="13.44140625" bestFit="1" customWidth="1"/>
    <col min="5124" max="5124" width="3.77734375" customWidth="1"/>
    <col min="5125" max="5125" width="7.5546875" customWidth="1"/>
    <col min="5126" max="5126" width="44.77734375" bestFit="1" customWidth="1"/>
    <col min="5127" max="5127" width="7.77734375" bestFit="1" customWidth="1"/>
    <col min="5128" max="5128" width="7.21875" bestFit="1" customWidth="1"/>
    <col min="5129" max="5130" width="22.21875" customWidth="1"/>
    <col min="5131" max="5131" width="12.77734375" bestFit="1" customWidth="1"/>
    <col min="5132" max="5132" width="13.44140625" bestFit="1" customWidth="1"/>
    <col min="5380" max="5380" width="3.77734375" customWidth="1"/>
    <col min="5381" max="5381" width="7.5546875" customWidth="1"/>
    <col min="5382" max="5382" width="44.77734375" bestFit="1" customWidth="1"/>
    <col min="5383" max="5383" width="7.77734375" bestFit="1" customWidth="1"/>
    <col min="5384" max="5384" width="7.21875" bestFit="1" customWidth="1"/>
    <col min="5385" max="5386" width="22.21875" customWidth="1"/>
    <col min="5387" max="5387" width="12.77734375" bestFit="1" customWidth="1"/>
    <col min="5388" max="5388" width="13.44140625" bestFit="1" customWidth="1"/>
    <col min="5636" max="5636" width="3.77734375" customWidth="1"/>
    <col min="5637" max="5637" width="7.5546875" customWidth="1"/>
    <col min="5638" max="5638" width="44.77734375" bestFit="1" customWidth="1"/>
    <col min="5639" max="5639" width="7.77734375" bestFit="1" customWidth="1"/>
    <col min="5640" max="5640" width="7.21875" bestFit="1" customWidth="1"/>
    <col min="5641" max="5642" width="22.21875" customWidth="1"/>
    <col min="5643" max="5643" width="12.77734375" bestFit="1" customWidth="1"/>
    <col min="5644" max="5644" width="13.44140625" bestFit="1" customWidth="1"/>
    <col min="5892" max="5892" width="3.77734375" customWidth="1"/>
    <col min="5893" max="5893" width="7.5546875" customWidth="1"/>
    <col min="5894" max="5894" width="44.77734375" bestFit="1" customWidth="1"/>
    <col min="5895" max="5895" width="7.77734375" bestFit="1" customWidth="1"/>
    <col min="5896" max="5896" width="7.21875" bestFit="1" customWidth="1"/>
    <col min="5897" max="5898" width="22.21875" customWidth="1"/>
    <col min="5899" max="5899" width="12.77734375" bestFit="1" customWidth="1"/>
    <col min="5900" max="5900" width="13.44140625" bestFit="1" customWidth="1"/>
    <col min="6148" max="6148" width="3.77734375" customWidth="1"/>
    <col min="6149" max="6149" width="7.5546875" customWidth="1"/>
    <col min="6150" max="6150" width="44.77734375" bestFit="1" customWidth="1"/>
    <col min="6151" max="6151" width="7.77734375" bestFit="1" customWidth="1"/>
    <col min="6152" max="6152" width="7.21875" bestFit="1" customWidth="1"/>
    <col min="6153" max="6154" width="22.21875" customWidth="1"/>
    <col min="6155" max="6155" width="12.77734375" bestFit="1" customWidth="1"/>
    <col min="6156" max="6156" width="13.44140625" bestFit="1" customWidth="1"/>
    <col min="6404" max="6404" width="3.77734375" customWidth="1"/>
    <col min="6405" max="6405" width="7.5546875" customWidth="1"/>
    <col min="6406" max="6406" width="44.77734375" bestFit="1" customWidth="1"/>
    <col min="6407" max="6407" width="7.77734375" bestFit="1" customWidth="1"/>
    <col min="6408" max="6408" width="7.21875" bestFit="1" customWidth="1"/>
    <col min="6409" max="6410" width="22.21875" customWidth="1"/>
    <col min="6411" max="6411" width="12.77734375" bestFit="1" customWidth="1"/>
    <col min="6412" max="6412" width="13.44140625" bestFit="1" customWidth="1"/>
    <col min="6660" max="6660" width="3.77734375" customWidth="1"/>
    <col min="6661" max="6661" width="7.5546875" customWidth="1"/>
    <col min="6662" max="6662" width="44.77734375" bestFit="1" customWidth="1"/>
    <col min="6663" max="6663" width="7.77734375" bestFit="1" customWidth="1"/>
    <col min="6664" max="6664" width="7.21875" bestFit="1" customWidth="1"/>
    <col min="6665" max="6666" width="22.21875" customWidth="1"/>
    <col min="6667" max="6667" width="12.77734375" bestFit="1" customWidth="1"/>
    <col min="6668" max="6668" width="13.44140625" bestFit="1" customWidth="1"/>
    <col min="6916" max="6916" width="3.77734375" customWidth="1"/>
    <col min="6917" max="6917" width="7.5546875" customWidth="1"/>
    <col min="6918" max="6918" width="44.77734375" bestFit="1" customWidth="1"/>
    <col min="6919" max="6919" width="7.77734375" bestFit="1" customWidth="1"/>
    <col min="6920" max="6920" width="7.21875" bestFit="1" customWidth="1"/>
    <col min="6921" max="6922" width="22.21875" customWidth="1"/>
    <col min="6923" max="6923" width="12.77734375" bestFit="1" customWidth="1"/>
    <col min="6924" max="6924" width="13.44140625" bestFit="1" customWidth="1"/>
    <col min="7172" max="7172" width="3.77734375" customWidth="1"/>
    <col min="7173" max="7173" width="7.5546875" customWidth="1"/>
    <col min="7174" max="7174" width="44.77734375" bestFit="1" customWidth="1"/>
    <col min="7175" max="7175" width="7.77734375" bestFit="1" customWidth="1"/>
    <col min="7176" max="7176" width="7.21875" bestFit="1" customWidth="1"/>
    <col min="7177" max="7178" width="22.21875" customWidth="1"/>
    <col min="7179" max="7179" width="12.77734375" bestFit="1" customWidth="1"/>
    <col min="7180" max="7180" width="13.44140625" bestFit="1" customWidth="1"/>
    <col min="7428" max="7428" width="3.77734375" customWidth="1"/>
    <col min="7429" max="7429" width="7.5546875" customWidth="1"/>
    <col min="7430" max="7430" width="44.77734375" bestFit="1" customWidth="1"/>
    <col min="7431" max="7431" width="7.77734375" bestFit="1" customWidth="1"/>
    <col min="7432" max="7432" width="7.21875" bestFit="1" customWidth="1"/>
    <col min="7433" max="7434" width="22.21875" customWidth="1"/>
    <col min="7435" max="7435" width="12.77734375" bestFit="1" customWidth="1"/>
    <col min="7436" max="7436" width="13.44140625" bestFit="1" customWidth="1"/>
    <col min="7684" max="7684" width="3.77734375" customWidth="1"/>
    <col min="7685" max="7685" width="7.5546875" customWidth="1"/>
    <col min="7686" max="7686" width="44.77734375" bestFit="1" customWidth="1"/>
    <col min="7687" max="7687" width="7.77734375" bestFit="1" customWidth="1"/>
    <col min="7688" max="7688" width="7.21875" bestFit="1" customWidth="1"/>
    <col min="7689" max="7690" width="22.21875" customWidth="1"/>
    <col min="7691" max="7691" width="12.77734375" bestFit="1" customWidth="1"/>
    <col min="7692" max="7692" width="13.44140625" bestFit="1" customWidth="1"/>
    <col min="7940" max="7940" width="3.77734375" customWidth="1"/>
    <col min="7941" max="7941" width="7.5546875" customWidth="1"/>
    <col min="7942" max="7942" width="44.77734375" bestFit="1" customWidth="1"/>
    <col min="7943" max="7943" width="7.77734375" bestFit="1" customWidth="1"/>
    <col min="7944" max="7944" width="7.21875" bestFit="1" customWidth="1"/>
    <col min="7945" max="7946" width="22.21875" customWidth="1"/>
    <col min="7947" max="7947" width="12.77734375" bestFit="1" customWidth="1"/>
    <col min="7948" max="7948" width="13.44140625" bestFit="1" customWidth="1"/>
    <col min="8196" max="8196" width="3.77734375" customWidth="1"/>
    <col min="8197" max="8197" width="7.5546875" customWidth="1"/>
    <col min="8198" max="8198" width="44.77734375" bestFit="1" customWidth="1"/>
    <col min="8199" max="8199" width="7.77734375" bestFit="1" customWidth="1"/>
    <col min="8200" max="8200" width="7.21875" bestFit="1" customWidth="1"/>
    <col min="8201" max="8202" width="22.21875" customWidth="1"/>
    <col min="8203" max="8203" width="12.77734375" bestFit="1" customWidth="1"/>
    <col min="8204" max="8204" width="13.44140625" bestFit="1" customWidth="1"/>
    <col min="8452" max="8452" width="3.77734375" customWidth="1"/>
    <col min="8453" max="8453" width="7.5546875" customWidth="1"/>
    <col min="8454" max="8454" width="44.77734375" bestFit="1" customWidth="1"/>
    <col min="8455" max="8455" width="7.77734375" bestFit="1" customWidth="1"/>
    <col min="8456" max="8456" width="7.21875" bestFit="1" customWidth="1"/>
    <col min="8457" max="8458" width="22.21875" customWidth="1"/>
    <col min="8459" max="8459" width="12.77734375" bestFit="1" customWidth="1"/>
    <col min="8460" max="8460" width="13.44140625" bestFit="1" customWidth="1"/>
    <col min="8708" max="8708" width="3.77734375" customWidth="1"/>
    <col min="8709" max="8709" width="7.5546875" customWidth="1"/>
    <col min="8710" max="8710" width="44.77734375" bestFit="1" customWidth="1"/>
    <col min="8711" max="8711" width="7.77734375" bestFit="1" customWidth="1"/>
    <col min="8712" max="8712" width="7.21875" bestFit="1" customWidth="1"/>
    <col min="8713" max="8714" width="22.21875" customWidth="1"/>
    <col min="8715" max="8715" width="12.77734375" bestFit="1" customWidth="1"/>
    <col min="8716" max="8716" width="13.44140625" bestFit="1" customWidth="1"/>
    <col min="8964" max="8964" width="3.77734375" customWidth="1"/>
    <col min="8965" max="8965" width="7.5546875" customWidth="1"/>
    <col min="8966" max="8966" width="44.77734375" bestFit="1" customWidth="1"/>
    <col min="8967" max="8967" width="7.77734375" bestFit="1" customWidth="1"/>
    <col min="8968" max="8968" width="7.21875" bestFit="1" customWidth="1"/>
    <col min="8969" max="8970" width="22.21875" customWidth="1"/>
    <col min="8971" max="8971" width="12.77734375" bestFit="1" customWidth="1"/>
    <col min="8972" max="8972" width="13.44140625" bestFit="1" customWidth="1"/>
    <col min="9220" max="9220" width="3.77734375" customWidth="1"/>
    <col min="9221" max="9221" width="7.5546875" customWidth="1"/>
    <col min="9222" max="9222" width="44.77734375" bestFit="1" customWidth="1"/>
    <col min="9223" max="9223" width="7.77734375" bestFit="1" customWidth="1"/>
    <col min="9224" max="9224" width="7.21875" bestFit="1" customWidth="1"/>
    <col min="9225" max="9226" width="22.21875" customWidth="1"/>
    <col min="9227" max="9227" width="12.77734375" bestFit="1" customWidth="1"/>
    <col min="9228" max="9228" width="13.44140625" bestFit="1" customWidth="1"/>
    <col min="9476" max="9476" width="3.77734375" customWidth="1"/>
    <col min="9477" max="9477" width="7.5546875" customWidth="1"/>
    <col min="9478" max="9478" width="44.77734375" bestFit="1" customWidth="1"/>
    <col min="9479" max="9479" width="7.77734375" bestFit="1" customWidth="1"/>
    <col min="9480" max="9480" width="7.21875" bestFit="1" customWidth="1"/>
    <col min="9481" max="9482" width="22.21875" customWidth="1"/>
    <col min="9483" max="9483" width="12.77734375" bestFit="1" customWidth="1"/>
    <col min="9484" max="9484" width="13.44140625" bestFit="1" customWidth="1"/>
    <col min="9732" max="9732" width="3.77734375" customWidth="1"/>
    <col min="9733" max="9733" width="7.5546875" customWidth="1"/>
    <col min="9734" max="9734" width="44.77734375" bestFit="1" customWidth="1"/>
    <col min="9735" max="9735" width="7.77734375" bestFit="1" customWidth="1"/>
    <col min="9736" max="9736" width="7.21875" bestFit="1" customWidth="1"/>
    <col min="9737" max="9738" width="22.21875" customWidth="1"/>
    <col min="9739" max="9739" width="12.77734375" bestFit="1" customWidth="1"/>
    <col min="9740" max="9740" width="13.44140625" bestFit="1" customWidth="1"/>
    <col min="9988" max="9988" width="3.77734375" customWidth="1"/>
    <col min="9989" max="9989" width="7.5546875" customWidth="1"/>
    <col min="9990" max="9990" width="44.77734375" bestFit="1" customWidth="1"/>
    <col min="9991" max="9991" width="7.77734375" bestFit="1" customWidth="1"/>
    <col min="9992" max="9992" width="7.21875" bestFit="1" customWidth="1"/>
    <col min="9993" max="9994" width="22.21875" customWidth="1"/>
    <col min="9995" max="9995" width="12.77734375" bestFit="1" customWidth="1"/>
    <col min="9996" max="9996" width="13.44140625" bestFit="1" customWidth="1"/>
    <col min="10244" max="10244" width="3.77734375" customWidth="1"/>
    <col min="10245" max="10245" width="7.5546875" customWidth="1"/>
    <col min="10246" max="10246" width="44.77734375" bestFit="1" customWidth="1"/>
    <col min="10247" max="10247" width="7.77734375" bestFit="1" customWidth="1"/>
    <col min="10248" max="10248" width="7.21875" bestFit="1" customWidth="1"/>
    <col min="10249" max="10250" width="22.21875" customWidth="1"/>
    <col min="10251" max="10251" width="12.77734375" bestFit="1" customWidth="1"/>
    <col min="10252" max="10252" width="13.44140625" bestFit="1" customWidth="1"/>
    <col min="10500" max="10500" width="3.77734375" customWidth="1"/>
    <col min="10501" max="10501" width="7.5546875" customWidth="1"/>
    <col min="10502" max="10502" width="44.77734375" bestFit="1" customWidth="1"/>
    <col min="10503" max="10503" width="7.77734375" bestFit="1" customWidth="1"/>
    <col min="10504" max="10504" width="7.21875" bestFit="1" customWidth="1"/>
    <col min="10505" max="10506" width="22.21875" customWidth="1"/>
    <col min="10507" max="10507" width="12.77734375" bestFit="1" customWidth="1"/>
    <col min="10508" max="10508" width="13.44140625" bestFit="1" customWidth="1"/>
    <col min="10756" max="10756" width="3.77734375" customWidth="1"/>
    <col min="10757" max="10757" width="7.5546875" customWidth="1"/>
    <col min="10758" max="10758" width="44.77734375" bestFit="1" customWidth="1"/>
    <col min="10759" max="10759" width="7.77734375" bestFit="1" customWidth="1"/>
    <col min="10760" max="10760" width="7.21875" bestFit="1" customWidth="1"/>
    <col min="10761" max="10762" width="22.21875" customWidth="1"/>
    <col min="10763" max="10763" width="12.77734375" bestFit="1" customWidth="1"/>
    <col min="10764" max="10764" width="13.44140625" bestFit="1" customWidth="1"/>
    <col min="11012" max="11012" width="3.77734375" customWidth="1"/>
    <col min="11013" max="11013" width="7.5546875" customWidth="1"/>
    <col min="11014" max="11014" width="44.77734375" bestFit="1" customWidth="1"/>
    <col min="11015" max="11015" width="7.77734375" bestFit="1" customWidth="1"/>
    <col min="11016" max="11016" width="7.21875" bestFit="1" customWidth="1"/>
    <col min="11017" max="11018" width="22.21875" customWidth="1"/>
    <col min="11019" max="11019" width="12.77734375" bestFit="1" customWidth="1"/>
    <col min="11020" max="11020" width="13.44140625" bestFit="1" customWidth="1"/>
    <col min="11268" max="11268" width="3.77734375" customWidth="1"/>
    <col min="11269" max="11269" width="7.5546875" customWidth="1"/>
    <col min="11270" max="11270" width="44.77734375" bestFit="1" customWidth="1"/>
    <col min="11271" max="11271" width="7.77734375" bestFit="1" customWidth="1"/>
    <col min="11272" max="11272" width="7.21875" bestFit="1" customWidth="1"/>
    <col min="11273" max="11274" width="22.21875" customWidth="1"/>
    <col min="11275" max="11275" width="12.77734375" bestFit="1" customWidth="1"/>
    <col min="11276" max="11276" width="13.44140625" bestFit="1" customWidth="1"/>
    <col min="11524" max="11524" width="3.77734375" customWidth="1"/>
    <col min="11525" max="11525" width="7.5546875" customWidth="1"/>
    <col min="11526" max="11526" width="44.77734375" bestFit="1" customWidth="1"/>
    <col min="11527" max="11527" width="7.77734375" bestFit="1" customWidth="1"/>
    <col min="11528" max="11528" width="7.21875" bestFit="1" customWidth="1"/>
    <col min="11529" max="11530" width="22.21875" customWidth="1"/>
    <col min="11531" max="11531" width="12.77734375" bestFit="1" customWidth="1"/>
    <col min="11532" max="11532" width="13.44140625" bestFit="1" customWidth="1"/>
    <col min="11780" max="11780" width="3.77734375" customWidth="1"/>
    <col min="11781" max="11781" width="7.5546875" customWidth="1"/>
    <col min="11782" max="11782" width="44.77734375" bestFit="1" customWidth="1"/>
    <col min="11783" max="11783" width="7.77734375" bestFit="1" customWidth="1"/>
    <col min="11784" max="11784" width="7.21875" bestFit="1" customWidth="1"/>
    <col min="11785" max="11786" width="22.21875" customWidth="1"/>
    <col min="11787" max="11787" width="12.77734375" bestFit="1" customWidth="1"/>
    <col min="11788" max="11788" width="13.44140625" bestFit="1" customWidth="1"/>
    <col min="12036" max="12036" width="3.77734375" customWidth="1"/>
    <col min="12037" max="12037" width="7.5546875" customWidth="1"/>
    <col min="12038" max="12038" width="44.77734375" bestFit="1" customWidth="1"/>
    <col min="12039" max="12039" width="7.77734375" bestFit="1" customWidth="1"/>
    <col min="12040" max="12040" width="7.21875" bestFit="1" customWidth="1"/>
    <col min="12041" max="12042" width="22.21875" customWidth="1"/>
    <col min="12043" max="12043" width="12.77734375" bestFit="1" customWidth="1"/>
    <col min="12044" max="12044" width="13.44140625" bestFit="1" customWidth="1"/>
    <col min="12292" max="12292" width="3.77734375" customWidth="1"/>
    <col min="12293" max="12293" width="7.5546875" customWidth="1"/>
    <col min="12294" max="12294" width="44.77734375" bestFit="1" customWidth="1"/>
    <col min="12295" max="12295" width="7.77734375" bestFit="1" customWidth="1"/>
    <col min="12296" max="12296" width="7.21875" bestFit="1" customWidth="1"/>
    <col min="12297" max="12298" width="22.21875" customWidth="1"/>
    <col min="12299" max="12299" width="12.77734375" bestFit="1" customWidth="1"/>
    <col min="12300" max="12300" width="13.44140625" bestFit="1" customWidth="1"/>
    <col min="12548" max="12548" width="3.77734375" customWidth="1"/>
    <col min="12549" max="12549" width="7.5546875" customWidth="1"/>
    <col min="12550" max="12550" width="44.77734375" bestFit="1" customWidth="1"/>
    <col min="12551" max="12551" width="7.77734375" bestFit="1" customWidth="1"/>
    <col min="12552" max="12552" width="7.21875" bestFit="1" customWidth="1"/>
    <col min="12553" max="12554" width="22.21875" customWidth="1"/>
    <col min="12555" max="12555" width="12.77734375" bestFit="1" customWidth="1"/>
    <col min="12556" max="12556" width="13.44140625" bestFit="1" customWidth="1"/>
    <col min="12804" max="12804" width="3.77734375" customWidth="1"/>
    <col min="12805" max="12805" width="7.5546875" customWidth="1"/>
    <col min="12806" max="12806" width="44.77734375" bestFit="1" customWidth="1"/>
    <col min="12807" max="12807" width="7.77734375" bestFit="1" customWidth="1"/>
    <col min="12808" max="12808" width="7.21875" bestFit="1" customWidth="1"/>
    <col min="12809" max="12810" width="22.21875" customWidth="1"/>
    <col min="12811" max="12811" width="12.77734375" bestFit="1" customWidth="1"/>
    <col min="12812" max="12812" width="13.44140625" bestFit="1" customWidth="1"/>
    <col min="13060" max="13060" width="3.77734375" customWidth="1"/>
    <col min="13061" max="13061" width="7.5546875" customWidth="1"/>
    <col min="13062" max="13062" width="44.77734375" bestFit="1" customWidth="1"/>
    <col min="13063" max="13063" width="7.77734375" bestFit="1" customWidth="1"/>
    <col min="13064" max="13064" width="7.21875" bestFit="1" customWidth="1"/>
    <col min="13065" max="13066" width="22.21875" customWidth="1"/>
    <col min="13067" max="13067" width="12.77734375" bestFit="1" customWidth="1"/>
    <col min="13068" max="13068" width="13.44140625" bestFit="1" customWidth="1"/>
    <col min="13316" max="13316" width="3.77734375" customWidth="1"/>
    <col min="13317" max="13317" width="7.5546875" customWidth="1"/>
    <col min="13318" max="13318" width="44.77734375" bestFit="1" customWidth="1"/>
    <col min="13319" max="13319" width="7.77734375" bestFit="1" customWidth="1"/>
    <col min="13320" max="13320" width="7.21875" bestFit="1" customWidth="1"/>
    <col min="13321" max="13322" width="22.21875" customWidth="1"/>
    <col min="13323" max="13323" width="12.77734375" bestFit="1" customWidth="1"/>
    <col min="13324" max="13324" width="13.44140625" bestFit="1" customWidth="1"/>
    <col min="13572" max="13572" width="3.77734375" customWidth="1"/>
    <col min="13573" max="13573" width="7.5546875" customWidth="1"/>
    <col min="13574" max="13574" width="44.77734375" bestFit="1" customWidth="1"/>
    <col min="13575" max="13575" width="7.77734375" bestFit="1" customWidth="1"/>
    <col min="13576" max="13576" width="7.21875" bestFit="1" customWidth="1"/>
    <col min="13577" max="13578" width="22.21875" customWidth="1"/>
    <col min="13579" max="13579" width="12.77734375" bestFit="1" customWidth="1"/>
    <col min="13580" max="13580" width="13.44140625" bestFit="1" customWidth="1"/>
    <col min="13828" max="13828" width="3.77734375" customWidth="1"/>
    <col min="13829" max="13829" width="7.5546875" customWidth="1"/>
    <col min="13830" max="13830" width="44.77734375" bestFit="1" customWidth="1"/>
    <col min="13831" max="13831" width="7.77734375" bestFit="1" customWidth="1"/>
    <col min="13832" max="13832" width="7.21875" bestFit="1" customWidth="1"/>
    <col min="13833" max="13834" width="22.21875" customWidth="1"/>
    <col min="13835" max="13835" width="12.77734375" bestFit="1" customWidth="1"/>
    <col min="13836" max="13836" width="13.44140625" bestFit="1" customWidth="1"/>
    <col min="14084" max="14084" width="3.77734375" customWidth="1"/>
    <col min="14085" max="14085" width="7.5546875" customWidth="1"/>
    <col min="14086" max="14086" width="44.77734375" bestFit="1" customWidth="1"/>
    <col min="14087" max="14087" width="7.77734375" bestFit="1" customWidth="1"/>
    <col min="14088" max="14088" width="7.21875" bestFit="1" customWidth="1"/>
    <col min="14089" max="14090" width="22.21875" customWidth="1"/>
    <col min="14091" max="14091" width="12.77734375" bestFit="1" customWidth="1"/>
    <col min="14092" max="14092" width="13.44140625" bestFit="1" customWidth="1"/>
    <col min="14340" max="14340" width="3.77734375" customWidth="1"/>
    <col min="14341" max="14341" width="7.5546875" customWidth="1"/>
    <col min="14342" max="14342" width="44.77734375" bestFit="1" customWidth="1"/>
    <col min="14343" max="14343" width="7.77734375" bestFit="1" customWidth="1"/>
    <col min="14344" max="14344" width="7.21875" bestFit="1" customWidth="1"/>
    <col min="14345" max="14346" width="22.21875" customWidth="1"/>
    <col min="14347" max="14347" width="12.77734375" bestFit="1" customWidth="1"/>
    <col min="14348" max="14348" width="13.44140625" bestFit="1" customWidth="1"/>
    <col min="14596" max="14596" width="3.77734375" customWidth="1"/>
    <col min="14597" max="14597" width="7.5546875" customWidth="1"/>
    <col min="14598" max="14598" width="44.77734375" bestFit="1" customWidth="1"/>
    <col min="14599" max="14599" width="7.77734375" bestFit="1" customWidth="1"/>
    <col min="14600" max="14600" width="7.21875" bestFit="1" customWidth="1"/>
    <col min="14601" max="14602" width="22.21875" customWidth="1"/>
    <col min="14603" max="14603" width="12.77734375" bestFit="1" customWidth="1"/>
    <col min="14604" max="14604" width="13.44140625" bestFit="1" customWidth="1"/>
    <col min="14852" max="14852" width="3.77734375" customWidth="1"/>
    <col min="14853" max="14853" width="7.5546875" customWidth="1"/>
    <col min="14854" max="14854" width="44.77734375" bestFit="1" customWidth="1"/>
    <col min="14855" max="14855" width="7.77734375" bestFit="1" customWidth="1"/>
    <col min="14856" max="14856" width="7.21875" bestFit="1" customWidth="1"/>
    <col min="14857" max="14858" width="22.21875" customWidth="1"/>
    <col min="14859" max="14859" width="12.77734375" bestFit="1" customWidth="1"/>
    <col min="14860" max="14860" width="13.44140625" bestFit="1" customWidth="1"/>
    <col min="15108" max="15108" width="3.77734375" customWidth="1"/>
    <col min="15109" max="15109" width="7.5546875" customWidth="1"/>
    <col min="15110" max="15110" width="44.77734375" bestFit="1" customWidth="1"/>
    <col min="15111" max="15111" width="7.77734375" bestFit="1" customWidth="1"/>
    <col min="15112" max="15112" width="7.21875" bestFit="1" customWidth="1"/>
    <col min="15113" max="15114" width="22.21875" customWidth="1"/>
    <col min="15115" max="15115" width="12.77734375" bestFit="1" customWidth="1"/>
    <col min="15116" max="15116" width="13.44140625" bestFit="1" customWidth="1"/>
    <col min="15364" max="15364" width="3.77734375" customWidth="1"/>
    <col min="15365" max="15365" width="7.5546875" customWidth="1"/>
    <col min="15366" max="15366" width="44.77734375" bestFit="1" customWidth="1"/>
    <col min="15367" max="15367" width="7.77734375" bestFit="1" customWidth="1"/>
    <col min="15368" max="15368" width="7.21875" bestFit="1" customWidth="1"/>
    <col min="15369" max="15370" width="22.21875" customWidth="1"/>
    <col min="15371" max="15371" width="12.77734375" bestFit="1" customWidth="1"/>
    <col min="15372" max="15372" width="13.44140625" bestFit="1" customWidth="1"/>
    <col min="15620" max="15620" width="3.77734375" customWidth="1"/>
    <col min="15621" max="15621" width="7.5546875" customWidth="1"/>
    <col min="15622" max="15622" width="44.77734375" bestFit="1" customWidth="1"/>
    <col min="15623" max="15623" width="7.77734375" bestFit="1" customWidth="1"/>
    <col min="15624" max="15624" width="7.21875" bestFit="1" customWidth="1"/>
    <col min="15625" max="15626" width="22.21875" customWidth="1"/>
    <col min="15627" max="15627" width="12.77734375" bestFit="1" customWidth="1"/>
    <col min="15628" max="15628" width="13.44140625" bestFit="1" customWidth="1"/>
    <col min="15876" max="15876" width="3.77734375" customWidth="1"/>
    <col min="15877" max="15877" width="7.5546875" customWidth="1"/>
    <col min="15878" max="15878" width="44.77734375" bestFit="1" customWidth="1"/>
    <col min="15879" max="15879" width="7.77734375" bestFit="1" customWidth="1"/>
    <col min="15880" max="15880" width="7.21875" bestFit="1" customWidth="1"/>
    <col min="15881" max="15882" width="22.21875" customWidth="1"/>
    <col min="15883" max="15883" width="12.77734375" bestFit="1" customWidth="1"/>
    <col min="15884" max="15884" width="13.44140625" bestFit="1" customWidth="1"/>
    <col min="16132" max="16132" width="3.77734375" customWidth="1"/>
    <col min="16133" max="16133" width="7.5546875" customWidth="1"/>
    <col min="16134" max="16134" width="44.77734375" bestFit="1" customWidth="1"/>
    <col min="16135" max="16135" width="7.77734375" bestFit="1" customWidth="1"/>
    <col min="16136" max="16136" width="7.21875" bestFit="1" customWidth="1"/>
    <col min="16137" max="16138" width="22.21875" customWidth="1"/>
    <col min="16139" max="16139" width="12.77734375" bestFit="1" customWidth="1"/>
    <col min="16140" max="16140" width="13.44140625" bestFit="1" customWidth="1"/>
  </cols>
  <sheetData>
    <row r="1" spans="2:22" ht="14.4" x14ac:dyDescent="0.3">
      <c r="B1" s="75"/>
      <c r="C1" s="75"/>
      <c r="D1" s="75"/>
      <c r="E1" s="76"/>
      <c r="F1" s="75"/>
      <c r="G1" s="98"/>
      <c r="H1" s="98"/>
    </row>
    <row r="2" spans="2:22" ht="14.4" x14ac:dyDescent="0.3">
      <c r="B2" s="75"/>
      <c r="C2" s="75"/>
      <c r="D2" s="75"/>
      <c r="E2" s="76"/>
      <c r="F2" s="75"/>
      <c r="G2" s="98"/>
      <c r="H2" s="98"/>
    </row>
    <row r="3" spans="2:22" ht="14.4" x14ac:dyDescent="0.3">
      <c r="B3" s="75"/>
      <c r="C3" s="75"/>
      <c r="D3" s="75"/>
      <c r="E3" s="76"/>
      <c r="F3" s="75"/>
      <c r="G3" s="98"/>
      <c r="H3" s="98"/>
      <c r="K3" s="102">
        <v>89669600</v>
      </c>
    </row>
    <row r="4" spans="2:22" ht="14.4" x14ac:dyDescent="0.3">
      <c r="B4" s="37" t="s">
        <v>22</v>
      </c>
      <c r="C4" s="75"/>
      <c r="D4" s="75"/>
      <c r="E4" s="76"/>
      <c r="F4" s="75"/>
      <c r="G4" s="98"/>
      <c r="H4" s="98"/>
      <c r="K4" s="402">
        <f>E13-K3</f>
        <v>-767357.14285711944</v>
      </c>
    </row>
    <row r="5" spans="2:22" s="44" customFormat="1" x14ac:dyDescent="0.35">
      <c r="B5" s="31" t="s">
        <v>23</v>
      </c>
      <c r="C5" s="110" t="str">
        <f>'Covering Letter '!D5</f>
        <v>CS/0001/2025</v>
      </c>
      <c r="D5" s="110"/>
      <c r="E5" s="111"/>
      <c r="F5" s="110"/>
      <c r="G5" s="112"/>
      <c r="H5" s="113"/>
      <c r="L5" s="128"/>
      <c r="M5" s="128"/>
      <c r="N5" s="222"/>
    </row>
    <row r="6" spans="2:22" ht="14.4" x14ac:dyDescent="0.3">
      <c r="B6" s="77"/>
      <c r="C6" s="75"/>
      <c r="D6" s="75"/>
      <c r="E6" s="76"/>
      <c r="F6" s="75"/>
      <c r="G6" s="98"/>
      <c r="H6" s="98"/>
    </row>
    <row r="7" spans="2:22" s="65" customFormat="1" ht="22.2" customHeight="1" x14ac:dyDescent="0.3">
      <c r="B7" s="495" t="s">
        <v>521</v>
      </c>
      <c r="C7" s="496"/>
      <c r="D7" s="497"/>
      <c r="E7" s="496"/>
      <c r="F7" s="496"/>
      <c r="G7" s="496"/>
      <c r="H7" s="498"/>
      <c r="L7" s="129"/>
      <c r="M7" s="129"/>
      <c r="N7" s="223"/>
    </row>
    <row r="8" spans="2:22" ht="16.5" customHeight="1" x14ac:dyDescent="0.3">
      <c r="B8" s="96" t="s">
        <v>24</v>
      </c>
      <c r="C8" s="97"/>
      <c r="D8" s="97"/>
      <c r="E8" s="499" t="s">
        <v>25</v>
      </c>
      <c r="F8" s="500"/>
      <c r="G8" s="500"/>
      <c r="H8" s="501"/>
    </row>
    <row r="9" spans="2:22" ht="16.5" customHeight="1" x14ac:dyDescent="0.3">
      <c r="B9" s="96" t="s">
        <v>26</v>
      </c>
      <c r="C9" s="97"/>
      <c r="D9" s="97"/>
      <c r="E9" s="499" t="s">
        <v>27</v>
      </c>
      <c r="F9" s="500"/>
      <c r="G9" s="500"/>
      <c r="H9" s="501"/>
    </row>
    <row r="10" spans="2:22" ht="14.4" x14ac:dyDescent="0.3">
      <c r="B10" s="78"/>
      <c r="C10" s="79"/>
      <c r="D10" s="79"/>
      <c r="E10" s="76"/>
      <c r="F10" s="38"/>
      <c r="G10" s="310"/>
      <c r="H10" s="311"/>
      <c r="R10" s="531" t="s">
        <v>28</v>
      </c>
      <c r="S10" s="532"/>
      <c r="T10" s="376" t="s">
        <v>29</v>
      </c>
      <c r="U10" s="376" t="s">
        <v>30</v>
      </c>
      <c r="V10" s="370" t="s">
        <v>31</v>
      </c>
    </row>
    <row r="11" spans="2:22" ht="14.4" x14ac:dyDescent="0.3">
      <c r="B11" s="270">
        <v>1</v>
      </c>
      <c r="C11" s="259" t="s">
        <v>32</v>
      </c>
      <c r="D11" s="268"/>
      <c r="E11" s="502">
        <f>V11</f>
        <v>123486538.60416667</v>
      </c>
      <c r="F11" s="503"/>
      <c r="G11" s="503"/>
      <c r="H11" s="504"/>
      <c r="R11" s="371">
        <f>'SC MP'!F42+'SC MP'!G42</f>
        <v>108061400</v>
      </c>
      <c r="S11" s="369">
        <f>('SC MP'!L42+'SC MP'!M42)*(13/28)</f>
        <v>8062600</v>
      </c>
      <c r="T11" s="377">
        <v>0</v>
      </c>
      <c r="U11" s="377">
        <f>TOOLS!J21+TOOLS!I83</f>
        <v>7362538.604166667</v>
      </c>
      <c r="V11" s="372">
        <f>SUM(R11:U11)</f>
        <v>123486538.60416667</v>
      </c>
    </row>
    <row r="12" spans="2:22" ht="14.4" x14ac:dyDescent="0.3">
      <c r="B12" s="80">
        <v>2</v>
      </c>
      <c r="C12" s="260" t="s">
        <v>33</v>
      </c>
      <c r="D12" s="269"/>
      <c r="E12" s="502">
        <f>V12</f>
        <v>119356219.3275</v>
      </c>
      <c r="F12" s="503"/>
      <c r="G12" s="503"/>
      <c r="H12" s="504"/>
      <c r="R12" s="371">
        <f>'SC MP'!H42+'SC MP'!I42</f>
        <v>99913600</v>
      </c>
      <c r="S12" s="369">
        <f>('SC MP'!L42+'SC MP'!M42)*(12/28)</f>
        <v>7442400</v>
      </c>
      <c r="T12" s="377">
        <v>0</v>
      </c>
      <c r="U12" s="377">
        <f>TOOLS!J21+TOOLS!I143</f>
        <v>12000219.327499999</v>
      </c>
      <c r="V12" s="372">
        <f t="shared" ref="V12:V15" si="0">SUM(R12:U12)</f>
        <v>119356219.3275</v>
      </c>
    </row>
    <row r="13" spans="2:22" ht="14.4" x14ac:dyDescent="0.3">
      <c r="B13" s="80">
        <v>3</v>
      </c>
      <c r="C13" s="82" t="s">
        <v>34</v>
      </c>
      <c r="D13" s="268"/>
      <c r="E13" s="505">
        <f>V13</f>
        <v>88902242.857142881</v>
      </c>
      <c r="F13" s="506"/>
      <c r="G13" s="506"/>
      <c r="H13" s="507"/>
      <c r="K13" s="402">
        <f>E13*12</f>
        <v>1066826914.2857146</v>
      </c>
      <c r="R13" s="371">
        <f>'SC MP'!J42+'SC MP'!K42</f>
        <v>25513400</v>
      </c>
      <c r="S13" s="369">
        <f>('SC MP'!L42+'SC MP'!M42)*(3/28)</f>
        <v>1860600</v>
      </c>
      <c r="T13" s="377">
        <f>VENDOR!I6</f>
        <v>60509232.369642876</v>
      </c>
      <c r="U13" s="377">
        <f>TOOLS!J21</f>
        <v>1019010.4875</v>
      </c>
      <c r="V13" s="372">
        <f>SUM(R13:U13)</f>
        <v>88902242.857142881</v>
      </c>
    </row>
    <row r="14" spans="2:22" ht="14.4" x14ac:dyDescent="0.3">
      <c r="B14" s="80">
        <v>4</v>
      </c>
      <c r="C14" s="82" t="s">
        <v>35</v>
      </c>
      <c r="D14" s="268"/>
      <c r="E14" s="502">
        <f t="shared" ref="E14:E15" si="1">V14</f>
        <v>103147861.11936666</v>
      </c>
      <c r="F14" s="503"/>
      <c r="G14" s="503"/>
      <c r="H14" s="504"/>
      <c r="R14" s="371">
        <f>'SC MP'!N42+'SC MP'!O42</f>
        <v>99913600</v>
      </c>
      <c r="S14" s="369">
        <v>0</v>
      </c>
      <c r="T14" s="377">
        <f>('SC MP'!M44+'SC MP'!N44)*(13/28)</f>
        <v>0</v>
      </c>
      <c r="U14" s="377">
        <f>TOOLS!J21+TOOLS!I161</f>
        <v>3234261.1193666663</v>
      </c>
      <c r="V14" s="372">
        <f t="shared" si="0"/>
        <v>103147861.11936666</v>
      </c>
    </row>
    <row r="15" spans="2:22" ht="14.4" x14ac:dyDescent="0.3">
      <c r="B15" s="80">
        <v>5</v>
      </c>
      <c r="C15" s="82" t="s">
        <v>36</v>
      </c>
      <c r="D15" s="268"/>
      <c r="E15" s="502">
        <f t="shared" si="1"/>
        <v>100000000</v>
      </c>
      <c r="F15" s="503"/>
      <c r="G15" s="503"/>
      <c r="H15" s="504"/>
      <c r="R15" s="371">
        <f>'SC MP'!F46+'SC MP'!G46</f>
        <v>0</v>
      </c>
      <c r="S15" s="369">
        <v>0</v>
      </c>
      <c r="T15" s="377">
        <v>100000000</v>
      </c>
      <c r="U15" s="377">
        <f>('SC MP'!N45+'SC MP'!O45)*(13/28)</f>
        <v>0</v>
      </c>
      <c r="V15" s="372">
        <f t="shared" si="0"/>
        <v>100000000</v>
      </c>
    </row>
    <row r="16" spans="2:22" ht="14.4" x14ac:dyDescent="0.3">
      <c r="B16" s="493" t="s">
        <v>31</v>
      </c>
      <c r="C16" s="494"/>
      <c r="D16" s="267"/>
      <c r="E16" s="508">
        <f>SUM(E11:H15)</f>
        <v>534892861.90817618</v>
      </c>
      <c r="F16" s="509"/>
      <c r="G16" s="509"/>
      <c r="H16" s="510"/>
      <c r="R16" s="533">
        <f>SUM(R11:S15)</f>
        <v>350767600</v>
      </c>
      <c r="S16" s="534"/>
      <c r="T16" s="378">
        <f>SUM(T11:T15)</f>
        <v>160509232.36964288</v>
      </c>
      <c r="U16" s="378">
        <f>SUM(U11:U15)</f>
        <v>23616029.53853333</v>
      </c>
      <c r="V16" s="379">
        <f>SUM(V11:V15)</f>
        <v>534892861.90817618</v>
      </c>
    </row>
    <row r="17" spans="2:22" ht="14.4" x14ac:dyDescent="0.3">
      <c r="B17" s="493" t="s">
        <v>37</v>
      </c>
      <c r="C17" s="494"/>
      <c r="D17" s="258"/>
      <c r="E17" s="512">
        <f>E16*5%</f>
        <v>26744643.095408812</v>
      </c>
      <c r="F17" s="513"/>
      <c r="G17" s="513"/>
      <c r="H17" s="514"/>
      <c r="R17">
        <v>26744643.095408801</v>
      </c>
    </row>
    <row r="18" spans="2:22" ht="14.4" x14ac:dyDescent="0.3">
      <c r="B18" s="469" t="s">
        <v>38</v>
      </c>
      <c r="C18" s="470"/>
      <c r="D18" s="382"/>
      <c r="E18" s="481">
        <f>E16+E17</f>
        <v>561637505.00358498</v>
      </c>
      <c r="F18" s="482"/>
      <c r="G18" s="482"/>
      <c r="H18" s="483"/>
      <c r="I18" s="388"/>
    </row>
    <row r="19" spans="2:22" ht="14.4" x14ac:dyDescent="0.3">
      <c r="B19" s="469" t="s">
        <v>39</v>
      </c>
      <c r="C19" s="470"/>
      <c r="D19" s="382"/>
      <c r="E19" s="481">
        <f>ROUNDUP(E18,-2)</f>
        <v>561637600</v>
      </c>
      <c r="F19" s="482"/>
      <c r="G19" s="482"/>
      <c r="H19" s="483"/>
      <c r="I19" s="389"/>
      <c r="J19" s="83"/>
      <c r="K19" s="83"/>
      <c r="N19" s="224"/>
      <c r="O19" s="126"/>
      <c r="P19" s="126"/>
      <c r="Q19" s="126"/>
      <c r="R19" s="126"/>
      <c r="S19" s="126"/>
      <c r="T19" s="126"/>
      <c r="U19" s="126"/>
      <c r="V19" s="126"/>
    </row>
    <row r="20" spans="2:22" ht="14.4" x14ac:dyDescent="0.3">
      <c r="B20" s="77"/>
      <c r="C20" s="75"/>
      <c r="D20" s="75"/>
      <c r="E20" s="76"/>
      <c r="F20" s="38"/>
      <c r="G20" s="99"/>
      <c r="H20" s="100"/>
      <c r="N20" s="224"/>
      <c r="O20" s="126"/>
      <c r="P20" s="126"/>
      <c r="Q20" s="126"/>
      <c r="R20" s="126"/>
      <c r="S20" s="126"/>
      <c r="T20" s="126"/>
      <c r="U20" s="126"/>
      <c r="V20" s="126"/>
    </row>
    <row r="21" spans="2:22" ht="16.2" x14ac:dyDescent="0.35">
      <c r="B21" s="485" t="s">
        <v>40</v>
      </c>
      <c r="C21" s="485"/>
      <c r="D21" s="485"/>
      <c r="E21" s="485"/>
      <c r="F21" s="485"/>
      <c r="G21" s="485"/>
      <c r="H21" s="485"/>
      <c r="L21" s="336" t="s">
        <v>41</v>
      </c>
      <c r="M21" s="336" t="s">
        <v>42</v>
      </c>
      <c r="N21" s="336" t="s">
        <v>43</v>
      </c>
      <c r="O21" s="336" t="s">
        <v>44</v>
      </c>
      <c r="P21" s="126"/>
      <c r="Q21" s="126"/>
      <c r="R21" s="126"/>
      <c r="S21" s="126"/>
      <c r="T21" s="126"/>
      <c r="U21" s="126"/>
      <c r="V21" s="126"/>
    </row>
    <row r="22" spans="2:22" ht="14.4" x14ac:dyDescent="0.3">
      <c r="B22" s="232" t="s">
        <v>45</v>
      </c>
      <c r="C22" s="232" t="s">
        <v>46</v>
      </c>
      <c r="D22" s="232" t="s">
        <v>47</v>
      </c>
      <c r="E22" s="232" t="s">
        <v>48</v>
      </c>
      <c r="F22" s="232" t="s">
        <v>49</v>
      </c>
      <c r="G22" s="233" t="s">
        <v>50</v>
      </c>
      <c r="H22" s="233" t="s">
        <v>51</v>
      </c>
      <c r="L22" s="337">
        <v>908003000</v>
      </c>
      <c r="M22" s="338">
        <f>E19</f>
        <v>561637600</v>
      </c>
      <c r="N22" s="338">
        <f>M22-L22</f>
        <v>-346365400</v>
      </c>
      <c r="O22" s="339">
        <f>N22/L22</f>
        <v>-0.38145843130474238</v>
      </c>
      <c r="P22" s="126"/>
      <c r="Q22" s="126"/>
      <c r="R22" s="126"/>
      <c r="S22" s="126"/>
      <c r="T22" s="126"/>
      <c r="U22" s="126"/>
      <c r="V22" s="126"/>
    </row>
    <row r="23" spans="2:22" ht="14.4" x14ac:dyDescent="0.3">
      <c r="B23" s="234">
        <v>1</v>
      </c>
      <c r="C23" s="235" t="str">
        <f>C11</f>
        <v>MECHANICAL ELECTRICAL</v>
      </c>
      <c r="D23" s="235"/>
      <c r="E23" s="236"/>
      <c r="F23" s="95"/>
      <c r="G23" s="237"/>
      <c r="H23" s="238"/>
      <c r="L23" s="332"/>
      <c r="N23" s="333"/>
      <c r="O23" s="334"/>
      <c r="P23" s="126"/>
      <c r="Q23" s="126"/>
      <c r="R23" s="126"/>
      <c r="S23" s="126"/>
      <c r="T23" s="126"/>
      <c r="U23" s="126"/>
      <c r="V23" s="126"/>
    </row>
    <row r="24" spans="2:22" ht="14.4" x14ac:dyDescent="0.3">
      <c r="B24" s="239" t="s">
        <v>52</v>
      </c>
      <c r="C24" s="82" t="s">
        <v>53</v>
      </c>
      <c r="D24" s="261"/>
      <c r="E24" s="240"/>
      <c r="F24" s="241"/>
      <c r="G24" s="346"/>
      <c r="H24" s="347"/>
      <c r="L24" s="340" t="s">
        <v>54</v>
      </c>
      <c r="M24" s="335"/>
      <c r="N24" s="333"/>
      <c r="O24" s="334"/>
      <c r="P24" s="126"/>
      <c r="Q24" s="126"/>
      <c r="R24" s="126"/>
      <c r="S24" s="126"/>
      <c r="T24" s="126"/>
      <c r="U24" s="102">
        <v>561637600</v>
      </c>
      <c r="V24" s="126"/>
    </row>
    <row r="25" spans="2:22" ht="14.4" x14ac:dyDescent="0.3">
      <c r="B25" s="242"/>
      <c r="C25" s="265" t="s">
        <v>55</v>
      </c>
      <c r="D25" s="487" t="s">
        <v>56</v>
      </c>
      <c r="E25" s="243">
        <v>5</v>
      </c>
      <c r="F25" s="345" t="s">
        <v>57</v>
      </c>
      <c r="G25" s="459">
        <f>E11</f>
        <v>123486538.60416667</v>
      </c>
      <c r="H25" s="460">
        <f>G25*12</f>
        <v>1481838463.25</v>
      </c>
      <c r="L25" s="342" t="s">
        <v>41</v>
      </c>
      <c r="M25" s="343" t="s">
        <v>42</v>
      </c>
      <c r="N25" s="336" t="s">
        <v>43</v>
      </c>
      <c r="O25" s="336" t="s">
        <v>44</v>
      </c>
      <c r="P25" s="126"/>
      <c r="Q25" s="126"/>
      <c r="R25" s="126"/>
      <c r="S25" s="126"/>
      <c r="T25" s="126"/>
      <c r="U25" s="126"/>
      <c r="V25" s="126"/>
    </row>
    <row r="26" spans="2:22" ht="14.4" x14ac:dyDescent="0.3">
      <c r="B26" s="84"/>
      <c r="C26" s="266" t="s">
        <v>58</v>
      </c>
      <c r="D26" s="488"/>
      <c r="E26" s="243">
        <v>1</v>
      </c>
      <c r="F26" s="345" t="s">
        <v>57</v>
      </c>
      <c r="G26" s="461"/>
      <c r="H26" s="449"/>
      <c r="L26" s="535">
        <v>908003000</v>
      </c>
      <c r="M26" s="338">
        <f>M22</f>
        <v>561637600</v>
      </c>
      <c r="N26" s="535">
        <f>M28-L26</f>
        <v>-242617939.90173411</v>
      </c>
      <c r="O26" s="536">
        <f>N26/L26</f>
        <v>-0.2671994915234136</v>
      </c>
      <c r="P26" s="126"/>
      <c r="Q26" s="126"/>
      <c r="R26" s="126"/>
      <c r="S26" s="126"/>
      <c r="T26" s="126"/>
      <c r="U26" s="126"/>
      <c r="V26" s="126"/>
    </row>
    <row r="27" spans="2:22" ht="14.4" x14ac:dyDescent="0.3">
      <c r="B27" s="84"/>
      <c r="C27" s="265" t="s">
        <v>59</v>
      </c>
      <c r="D27" s="488"/>
      <c r="E27" s="243">
        <v>1</v>
      </c>
      <c r="F27" s="345" t="s">
        <v>57</v>
      </c>
      <c r="G27" s="452"/>
      <c r="H27" s="450"/>
      <c r="L27" s="535"/>
      <c r="M27" s="338">
        <f>3167*'SC MP'!F20</f>
        <v>103747460.0982659</v>
      </c>
      <c r="N27" s="535"/>
      <c r="O27" s="537"/>
      <c r="P27" s="126"/>
      <c r="Q27" s="126"/>
      <c r="R27" s="126"/>
      <c r="S27" s="126"/>
      <c r="T27" s="126"/>
      <c r="U27" s="126"/>
      <c r="V27" s="126"/>
    </row>
    <row r="28" spans="2:22" ht="14.4" x14ac:dyDescent="0.3">
      <c r="B28" s="84"/>
      <c r="C28" s="266" t="s">
        <v>60</v>
      </c>
      <c r="D28" s="488"/>
      <c r="E28" s="244">
        <f>4-1</f>
        <v>3</v>
      </c>
      <c r="F28" s="345" t="s">
        <v>57</v>
      </c>
      <c r="G28" s="452"/>
      <c r="H28" s="450"/>
      <c r="L28" s="535"/>
      <c r="M28" s="341">
        <f>SUM(M26:M27)</f>
        <v>665385060.09826589</v>
      </c>
      <c r="N28" s="535"/>
      <c r="O28" s="538"/>
      <c r="P28" s="126"/>
      <c r="Q28" s="126"/>
      <c r="R28" s="126"/>
      <c r="S28" s="126"/>
      <c r="T28" s="126"/>
      <c r="U28" s="126"/>
      <c r="V28" s="126"/>
    </row>
    <row r="29" spans="2:22" ht="14.4" x14ac:dyDescent="0.3">
      <c r="B29" s="84"/>
      <c r="C29" s="265" t="s">
        <v>61</v>
      </c>
      <c r="D29" s="488"/>
      <c r="E29" s="243">
        <v>1</v>
      </c>
      <c r="F29" s="345" t="s">
        <v>57</v>
      </c>
      <c r="G29" s="452"/>
      <c r="H29" s="450"/>
      <c r="N29" s="224"/>
      <c r="O29" s="126"/>
      <c r="P29" s="126"/>
      <c r="Q29" s="126"/>
      <c r="R29" s="126"/>
      <c r="S29" s="126"/>
      <c r="T29" s="126"/>
      <c r="U29" s="126"/>
      <c r="V29" s="126"/>
    </row>
    <row r="30" spans="2:22" ht="14.4" x14ac:dyDescent="0.3">
      <c r="B30" s="84"/>
      <c r="C30" s="266" t="s">
        <v>62</v>
      </c>
      <c r="D30" s="488"/>
      <c r="E30" s="243">
        <v>1</v>
      </c>
      <c r="F30" s="345" t="s">
        <v>57</v>
      </c>
      <c r="G30" s="452"/>
      <c r="H30" s="450"/>
      <c r="N30" s="224"/>
      <c r="O30" s="126"/>
      <c r="P30" s="126"/>
      <c r="Q30" s="126"/>
      <c r="R30" s="126"/>
      <c r="S30" s="126"/>
      <c r="T30" s="126"/>
      <c r="U30" s="126"/>
      <c r="V30" s="126"/>
    </row>
    <row r="31" spans="2:22" ht="14.4" x14ac:dyDescent="0.3">
      <c r="B31" s="84"/>
      <c r="C31" s="265" t="s">
        <v>63</v>
      </c>
      <c r="D31" s="488"/>
      <c r="E31" s="244">
        <v>1</v>
      </c>
      <c r="F31" s="345" t="s">
        <v>57</v>
      </c>
      <c r="G31" s="452"/>
      <c r="H31" s="450"/>
      <c r="M31" s="344"/>
      <c r="N31" s="224"/>
      <c r="O31" s="126"/>
      <c r="P31" s="126"/>
      <c r="Q31" s="126"/>
      <c r="R31" s="126"/>
      <c r="S31" s="126"/>
      <c r="T31" s="126"/>
      <c r="U31" s="126"/>
      <c r="V31" s="126"/>
    </row>
    <row r="32" spans="2:22" ht="14.4" x14ac:dyDescent="0.3">
      <c r="B32" s="84"/>
      <c r="C32" s="266" t="s">
        <v>64</v>
      </c>
      <c r="D32" s="488"/>
      <c r="E32" s="243">
        <v>1</v>
      </c>
      <c r="F32" s="345" t="s">
        <v>57</v>
      </c>
      <c r="G32" s="452"/>
      <c r="H32" s="450"/>
      <c r="M32" s="344"/>
      <c r="N32" s="224"/>
      <c r="O32" s="126"/>
      <c r="P32" s="126"/>
      <c r="Q32" s="126"/>
      <c r="R32" s="126"/>
      <c r="S32" s="126"/>
      <c r="T32" s="126"/>
      <c r="U32" s="126"/>
      <c r="V32" s="126"/>
    </row>
    <row r="33" spans="2:22" ht="14.4" x14ac:dyDescent="0.3">
      <c r="B33" s="84"/>
      <c r="C33" s="266" t="s">
        <v>65</v>
      </c>
      <c r="D33" s="489"/>
      <c r="E33" s="244">
        <v>1</v>
      </c>
      <c r="F33" s="239" t="s">
        <v>57</v>
      </c>
      <c r="G33" s="452"/>
      <c r="H33" s="450"/>
      <c r="M33" s="344"/>
      <c r="N33" s="348"/>
      <c r="O33" s="126"/>
      <c r="P33" s="126"/>
      <c r="Q33" s="126"/>
      <c r="R33" s="126"/>
      <c r="S33" s="126"/>
      <c r="T33" s="126"/>
      <c r="U33" s="126"/>
      <c r="V33" s="126"/>
    </row>
    <row r="34" spans="2:22" ht="14.4" x14ac:dyDescent="0.3">
      <c r="B34" s="390" t="s">
        <v>66</v>
      </c>
      <c r="C34" s="261" t="s">
        <v>67</v>
      </c>
      <c r="D34" s="261"/>
      <c r="E34" s="240"/>
      <c r="F34" s="241"/>
      <c r="G34" s="452"/>
      <c r="H34" s="450"/>
      <c r="N34" s="224"/>
      <c r="O34" s="126"/>
      <c r="P34" s="126"/>
      <c r="Q34" s="126"/>
      <c r="R34" s="126"/>
      <c r="S34" s="126"/>
      <c r="T34" s="126"/>
      <c r="U34" s="126"/>
      <c r="V34" s="126"/>
    </row>
    <row r="35" spans="2:22" ht="14.4" x14ac:dyDescent="0.3">
      <c r="B35" s="84"/>
      <c r="C35" s="265" t="s">
        <v>55</v>
      </c>
      <c r="D35" s="487" t="s">
        <v>56</v>
      </c>
      <c r="E35" s="243">
        <v>3</v>
      </c>
      <c r="F35" s="345" t="s">
        <v>57</v>
      </c>
      <c r="G35" s="452"/>
      <c r="H35" s="450"/>
      <c r="N35" s="224"/>
      <c r="O35" s="126"/>
      <c r="P35" s="126"/>
      <c r="Q35" s="126"/>
      <c r="R35" s="126"/>
      <c r="S35" s="126"/>
      <c r="T35" s="126"/>
      <c r="U35" s="126"/>
      <c r="V35" s="126"/>
    </row>
    <row r="36" spans="2:22" ht="14.4" x14ac:dyDescent="0.3">
      <c r="B36" s="84"/>
      <c r="C36" s="266" t="s">
        <v>58</v>
      </c>
      <c r="D36" s="488"/>
      <c r="E36" s="243">
        <v>3</v>
      </c>
      <c r="F36" s="345" t="s">
        <v>57</v>
      </c>
      <c r="G36" s="452"/>
      <c r="H36" s="450"/>
      <c r="N36" s="224"/>
      <c r="O36" s="126"/>
      <c r="P36" s="126"/>
      <c r="Q36" s="126"/>
      <c r="R36" s="126"/>
      <c r="S36" s="126"/>
      <c r="T36" s="126"/>
      <c r="U36" s="126"/>
      <c r="V36" s="126"/>
    </row>
    <row r="37" spans="2:22" ht="14.4" x14ac:dyDescent="0.3">
      <c r="B37" s="84"/>
      <c r="C37" s="265" t="s">
        <v>68</v>
      </c>
      <c r="D37" s="488"/>
      <c r="E37" s="243">
        <v>3</v>
      </c>
      <c r="F37" s="345" t="s">
        <v>57</v>
      </c>
      <c r="G37" s="452"/>
      <c r="H37" s="450"/>
      <c r="N37" s="224"/>
      <c r="O37" s="126"/>
      <c r="P37" s="126"/>
      <c r="Q37" s="126"/>
      <c r="R37" s="126"/>
      <c r="S37" s="126"/>
      <c r="T37" s="126"/>
      <c r="U37" s="126"/>
      <c r="V37" s="126"/>
    </row>
    <row r="38" spans="2:22" ht="14.4" x14ac:dyDescent="0.3">
      <c r="B38" s="84"/>
      <c r="C38" s="265" t="s">
        <v>61</v>
      </c>
      <c r="D38" s="488"/>
      <c r="E38" s="244">
        <v>3</v>
      </c>
      <c r="F38" s="345" t="s">
        <v>57</v>
      </c>
      <c r="G38" s="452"/>
      <c r="H38" s="450"/>
      <c r="N38" s="224"/>
      <c r="O38" s="126"/>
      <c r="P38" s="126"/>
      <c r="Q38" s="126"/>
      <c r="R38" s="126"/>
      <c r="S38" s="126"/>
      <c r="T38" s="126"/>
      <c r="U38" s="126"/>
      <c r="V38" s="126"/>
    </row>
    <row r="39" spans="2:22" ht="14.4" x14ac:dyDescent="0.3">
      <c r="B39" s="84"/>
      <c r="C39" s="266" t="s">
        <v>69</v>
      </c>
      <c r="D39" s="489"/>
      <c r="E39" s="244">
        <v>3</v>
      </c>
      <c r="F39" s="239" t="s">
        <v>57</v>
      </c>
      <c r="G39" s="452"/>
      <c r="H39" s="450"/>
      <c r="N39" s="224"/>
      <c r="O39" s="126"/>
      <c r="P39" s="126"/>
      <c r="Q39" s="126"/>
      <c r="R39" s="126"/>
      <c r="S39" s="126"/>
      <c r="T39" s="126"/>
      <c r="U39" s="126"/>
      <c r="V39" s="126"/>
    </row>
    <row r="40" spans="2:22" ht="14.4" x14ac:dyDescent="0.3">
      <c r="B40" s="390" t="s">
        <v>70</v>
      </c>
      <c r="C40" s="261" t="s">
        <v>71</v>
      </c>
      <c r="D40" s="271"/>
      <c r="E40" s="240"/>
      <c r="F40" s="241"/>
      <c r="G40" s="452"/>
      <c r="H40" s="450"/>
      <c r="N40" s="224"/>
      <c r="O40" s="126"/>
      <c r="P40" s="126"/>
      <c r="Q40" s="126"/>
      <c r="R40" s="126"/>
      <c r="S40" s="126"/>
      <c r="T40" s="126"/>
      <c r="U40" s="126"/>
      <c r="V40" s="126"/>
    </row>
    <row r="41" spans="2:22" ht="14.4" x14ac:dyDescent="0.3">
      <c r="B41" s="84"/>
      <c r="C41" s="272" t="s">
        <v>55</v>
      </c>
      <c r="D41" s="490" t="s">
        <v>72</v>
      </c>
      <c r="E41" s="274">
        <v>31</v>
      </c>
      <c r="F41" s="345" t="s">
        <v>57</v>
      </c>
      <c r="G41" s="452"/>
      <c r="H41" s="450"/>
      <c r="N41" s="224"/>
      <c r="O41" s="126"/>
      <c r="P41" s="126"/>
      <c r="Q41" s="126"/>
      <c r="R41" s="126"/>
      <c r="S41" s="126"/>
      <c r="T41" s="126"/>
      <c r="U41" s="126"/>
      <c r="V41" s="126"/>
    </row>
    <row r="42" spans="2:22" ht="14.4" x14ac:dyDescent="0.3">
      <c r="B42" s="84"/>
      <c r="C42" s="273" t="s">
        <v>58</v>
      </c>
      <c r="D42" s="490"/>
      <c r="E42" s="274">
        <v>9</v>
      </c>
      <c r="F42" s="345" t="s">
        <v>57</v>
      </c>
      <c r="G42" s="452"/>
      <c r="H42" s="450"/>
      <c r="N42" s="224"/>
      <c r="O42" s="126"/>
      <c r="P42" s="126"/>
      <c r="Q42" s="126"/>
      <c r="R42" s="126"/>
      <c r="S42" s="126"/>
      <c r="T42" s="126"/>
      <c r="U42" s="126"/>
      <c r="V42" s="126"/>
    </row>
    <row r="43" spans="2:22" ht="14.4" x14ac:dyDescent="0.3">
      <c r="B43" s="84"/>
      <c r="C43" s="272" t="s">
        <v>73</v>
      </c>
      <c r="D43" s="490"/>
      <c r="E43" s="316">
        <v>2</v>
      </c>
      <c r="F43" s="345" t="s">
        <v>57</v>
      </c>
      <c r="G43" s="452"/>
      <c r="H43" s="450"/>
      <c r="N43" s="224"/>
      <c r="O43" s="126"/>
      <c r="P43" s="126"/>
      <c r="Q43" s="126"/>
      <c r="R43" s="126"/>
      <c r="S43" s="126"/>
      <c r="T43" s="126"/>
      <c r="U43" s="126"/>
      <c r="V43" s="126"/>
    </row>
    <row r="44" spans="2:22" ht="14.4" x14ac:dyDescent="0.3">
      <c r="B44" s="84"/>
      <c r="C44" s="272" t="s">
        <v>61</v>
      </c>
      <c r="D44" s="490"/>
      <c r="E44" s="274">
        <v>6</v>
      </c>
      <c r="F44" s="345" t="s">
        <v>57</v>
      </c>
      <c r="G44" s="452"/>
      <c r="H44" s="450"/>
      <c r="N44" s="224"/>
      <c r="O44" s="126"/>
      <c r="P44" s="126"/>
      <c r="Q44" s="126"/>
      <c r="R44" s="126"/>
      <c r="S44" s="126"/>
      <c r="T44" s="126"/>
      <c r="U44" s="126"/>
      <c r="V44" s="126"/>
    </row>
    <row r="45" spans="2:22" ht="14.4" x14ac:dyDescent="0.3">
      <c r="B45" s="84"/>
      <c r="C45" s="272" t="s">
        <v>68</v>
      </c>
      <c r="D45" s="490"/>
      <c r="E45" s="316">
        <v>3</v>
      </c>
      <c r="F45" s="239" t="s">
        <v>57</v>
      </c>
      <c r="G45" s="452"/>
      <c r="H45" s="450"/>
      <c r="N45" s="224"/>
      <c r="O45" s="126"/>
      <c r="P45" s="126"/>
      <c r="Q45" s="126"/>
      <c r="R45" s="126"/>
      <c r="S45" s="126"/>
      <c r="T45" s="126"/>
      <c r="U45" s="126"/>
      <c r="V45" s="126"/>
    </row>
    <row r="46" spans="2:22" ht="14.4" x14ac:dyDescent="0.3">
      <c r="B46" s="390" t="s">
        <v>74</v>
      </c>
      <c r="C46" s="261" t="s">
        <v>75</v>
      </c>
      <c r="D46" s="317"/>
      <c r="E46" s="240"/>
      <c r="F46" s="241"/>
      <c r="G46" s="452"/>
      <c r="H46" s="450"/>
      <c r="N46" s="224"/>
      <c r="O46" s="126"/>
      <c r="P46" s="126"/>
      <c r="Q46" s="126"/>
      <c r="R46" s="126"/>
      <c r="S46" s="126"/>
      <c r="T46" s="126"/>
      <c r="U46" s="126"/>
      <c r="V46" s="126"/>
    </row>
    <row r="47" spans="2:22" ht="16.5" customHeight="1" x14ac:dyDescent="0.3">
      <c r="B47" s="84"/>
      <c r="C47" s="265" t="s">
        <v>55</v>
      </c>
      <c r="D47" s="487" t="s">
        <v>56</v>
      </c>
      <c r="E47" s="243">
        <v>3</v>
      </c>
      <c r="F47" s="345" t="s">
        <v>57</v>
      </c>
      <c r="G47" s="452"/>
      <c r="H47" s="450"/>
      <c r="N47" s="224"/>
      <c r="O47" s="126"/>
      <c r="P47" s="126"/>
      <c r="Q47" s="126"/>
      <c r="R47" s="126"/>
      <c r="S47" s="126"/>
      <c r="T47" s="126"/>
      <c r="U47" s="126"/>
      <c r="V47" s="126"/>
    </row>
    <row r="48" spans="2:22" ht="14.4" x14ac:dyDescent="0.3">
      <c r="B48" s="84"/>
      <c r="C48" s="266" t="s">
        <v>58</v>
      </c>
      <c r="D48" s="488"/>
      <c r="E48" s="243">
        <v>1</v>
      </c>
      <c r="F48" s="345" t="s">
        <v>57</v>
      </c>
      <c r="G48" s="452"/>
      <c r="H48" s="450"/>
      <c r="N48" s="224"/>
      <c r="O48" s="126"/>
      <c r="P48" s="126"/>
      <c r="Q48" s="126"/>
      <c r="R48" s="126"/>
      <c r="S48" s="126"/>
      <c r="T48" s="126"/>
      <c r="U48" s="126"/>
      <c r="V48" s="126"/>
    </row>
    <row r="49" spans="2:22" ht="14.4" x14ac:dyDescent="0.3">
      <c r="B49" s="84"/>
      <c r="C49" s="265" t="s">
        <v>59</v>
      </c>
      <c r="D49" s="488"/>
      <c r="E49" s="243">
        <v>1</v>
      </c>
      <c r="F49" s="345" t="s">
        <v>57</v>
      </c>
      <c r="G49" s="452"/>
      <c r="H49" s="450"/>
      <c r="N49" s="224"/>
      <c r="O49" s="126"/>
      <c r="P49" s="126"/>
      <c r="Q49" s="126"/>
      <c r="R49" s="126"/>
      <c r="S49" s="126"/>
      <c r="T49" s="126"/>
      <c r="U49" s="126"/>
      <c r="V49" s="126"/>
    </row>
    <row r="50" spans="2:22" ht="14.4" x14ac:dyDescent="0.3">
      <c r="B50" s="84"/>
      <c r="C50" s="265" t="s">
        <v>61</v>
      </c>
      <c r="D50" s="488"/>
      <c r="E50" s="243">
        <v>1</v>
      </c>
      <c r="F50" s="345" t="s">
        <v>57</v>
      </c>
      <c r="G50" s="452"/>
      <c r="H50" s="450"/>
      <c r="N50" s="224"/>
      <c r="O50" s="126"/>
      <c r="P50" s="126"/>
      <c r="Q50" s="126"/>
      <c r="R50" s="126"/>
      <c r="S50" s="126"/>
      <c r="T50" s="126"/>
      <c r="U50" s="126"/>
      <c r="V50" s="126"/>
    </row>
    <row r="51" spans="2:22" ht="14.4" x14ac:dyDescent="0.3">
      <c r="B51" s="84"/>
      <c r="C51" s="266" t="s">
        <v>62</v>
      </c>
      <c r="D51" s="488"/>
      <c r="E51" s="244">
        <v>1</v>
      </c>
      <c r="F51" s="345" t="s">
        <v>57</v>
      </c>
      <c r="G51" s="452"/>
      <c r="H51" s="450"/>
      <c r="N51" s="224"/>
      <c r="O51" s="126"/>
      <c r="P51" s="126"/>
      <c r="Q51" s="126"/>
      <c r="R51" s="126"/>
      <c r="S51" s="126"/>
      <c r="T51" s="126"/>
      <c r="U51" s="126"/>
      <c r="V51" s="126"/>
    </row>
    <row r="52" spans="2:22" ht="14.4" x14ac:dyDescent="0.3">
      <c r="B52" s="84"/>
      <c r="C52" s="265" t="s">
        <v>63</v>
      </c>
      <c r="D52" s="489"/>
      <c r="E52" s="243">
        <v>1</v>
      </c>
      <c r="F52" s="345" t="s">
        <v>57</v>
      </c>
      <c r="G52" s="452"/>
      <c r="H52" s="450"/>
      <c r="N52" s="224"/>
      <c r="O52" s="126"/>
      <c r="P52" s="126"/>
      <c r="Q52" s="126"/>
      <c r="R52" s="126"/>
      <c r="S52" s="126"/>
      <c r="T52" s="126"/>
      <c r="U52" s="126"/>
      <c r="V52" s="126"/>
    </row>
    <row r="53" spans="2:22" ht="14.4" x14ac:dyDescent="0.3">
      <c r="B53" s="390" t="s">
        <v>76</v>
      </c>
      <c r="C53" s="261" t="s">
        <v>77</v>
      </c>
      <c r="D53" s="261"/>
      <c r="E53" s="240"/>
      <c r="F53" s="241"/>
      <c r="G53" s="452"/>
      <c r="H53" s="450"/>
      <c r="N53" s="224"/>
      <c r="O53" s="126"/>
      <c r="P53" s="126"/>
      <c r="Q53" s="126"/>
      <c r="R53" s="126"/>
      <c r="S53" s="126"/>
      <c r="T53" s="126"/>
      <c r="U53" s="126"/>
      <c r="V53" s="126"/>
    </row>
    <row r="54" spans="2:22" ht="14.4" x14ac:dyDescent="0.3">
      <c r="B54" s="84"/>
      <c r="C54" s="265" t="s">
        <v>55</v>
      </c>
      <c r="D54" s="491" t="s">
        <v>78</v>
      </c>
      <c r="E54" s="243">
        <v>138</v>
      </c>
      <c r="F54" s="345" t="s">
        <v>57</v>
      </c>
      <c r="G54" s="452"/>
      <c r="H54" s="450"/>
      <c r="N54" s="224"/>
      <c r="O54" s="126"/>
      <c r="P54" s="126"/>
      <c r="Q54" s="126"/>
      <c r="R54" s="126"/>
      <c r="S54" s="126"/>
      <c r="T54" s="126"/>
      <c r="U54" s="126"/>
      <c r="V54" s="126"/>
    </row>
    <row r="55" spans="2:22" ht="14.4" x14ac:dyDescent="0.3">
      <c r="B55" s="84"/>
      <c r="C55" s="265" t="s">
        <v>79</v>
      </c>
      <c r="D55" s="511"/>
      <c r="E55" s="243">
        <v>124</v>
      </c>
      <c r="F55" s="345" t="s">
        <v>57</v>
      </c>
      <c r="G55" s="452"/>
      <c r="H55" s="450"/>
      <c r="N55" s="224"/>
      <c r="O55" s="126"/>
      <c r="P55" s="126"/>
      <c r="Q55" s="126"/>
      <c r="R55" s="126"/>
      <c r="S55" s="126"/>
      <c r="T55" s="126"/>
      <c r="U55" s="126"/>
      <c r="V55" s="126"/>
    </row>
    <row r="56" spans="2:22" ht="14.4" x14ac:dyDescent="0.3">
      <c r="B56" s="84"/>
      <c r="C56" s="265" t="s">
        <v>69</v>
      </c>
      <c r="D56" s="511"/>
      <c r="E56" s="243">
        <v>14</v>
      </c>
      <c r="F56" s="345" t="s">
        <v>57</v>
      </c>
      <c r="G56" s="452"/>
      <c r="H56" s="450"/>
      <c r="N56" s="224"/>
      <c r="O56" s="126"/>
      <c r="P56" s="126"/>
      <c r="Q56" s="126"/>
      <c r="R56" s="126"/>
      <c r="S56" s="126"/>
      <c r="T56" s="126"/>
      <c r="U56" s="126"/>
      <c r="V56" s="126"/>
    </row>
    <row r="57" spans="2:22" ht="14.4" x14ac:dyDescent="0.3">
      <c r="B57" s="84"/>
      <c r="C57" s="265" t="s">
        <v>80</v>
      </c>
      <c r="D57" s="492"/>
      <c r="E57" s="243">
        <v>16</v>
      </c>
      <c r="F57" s="345" t="s">
        <v>57</v>
      </c>
      <c r="G57" s="452"/>
      <c r="H57" s="450"/>
      <c r="N57" s="224"/>
      <c r="O57" s="126"/>
      <c r="P57" s="126"/>
      <c r="Q57" s="126"/>
      <c r="R57" s="126"/>
      <c r="S57" s="126"/>
      <c r="T57" s="126"/>
      <c r="U57" s="126"/>
      <c r="V57" s="126"/>
    </row>
    <row r="58" spans="2:22" ht="14.4" x14ac:dyDescent="0.3">
      <c r="B58" s="390" t="s">
        <v>81</v>
      </c>
      <c r="C58" s="261" t="s">
        <v>82</v>
      </c>
      <c r="D58" s="261"/>
      <c r="E58" s="240"/>
      <c r="F58" s="241"/>
      <c r="G58" s="452"/>
      <c r="H58" s="450"/>
      <c r="N58" s="224"/>
      <c r="O58" s="126"/>
      <c r="P58" s="126"/>
      <c r="Q58" s="126"/>
      <c r="R58" s="126"/>
      <c r="S58" s="126"/>
      <c r="T58" s="126"/>
      <c r="U58" s="126"/>
      <c r="V58" s="126"/>
    </row>
    <row r="59" spans="2:22" ht="14.4" x14ac:dyDescent="0.3">
      <c r="B59" s="84"/>
      <c r="C59" s="265" t="s">
        <v>83</v>
      </c>
      <c r="D59" s="491" t="s">
        <v>84</v>
      </c>
      <c r="E59" s="243">
        <v>3</v>
      </c>
      <c r="F59" s="345" t="s">
        <v>57</v>
      </c>
      <c r="G59" s="452"/>
      <c r="H59" s="450"/>
      <c r="N59" s="224"/>
      <c r="O59" s="126"/>
      <c r="P59" s="126"/>
      <c r="Q59" s="126"/>
      <c r="R59" s="126"/>
      <c r="S59" s="126"/>
      <c r="T59" s="126"/>
      <c r="U59" s="126"/>
      <c r="V59" s="126"/>
    </row>
    <row r="60" spans="2:22" ht="14.4" x14ac:dyDescent="0.3">
      <c r="B60" s="84"/>
      <c r="C60" s="265" t="s">
        <v>85</v>
      </c>
      <c r="D60" s="511"/>
      <c r="E60" s="243">
        <v>10</v>
      </c>
      <c r="F60" s="345" t="s">
        <v>57</v>
      </c>
      <c r="G60" s="452"/>
      <c r="H60" s="450"/>
      <c r="N60" s="224"/>
      <c r="O60" s="126"/>
      <c r="P60" s="126"/>
      <c r="Q60" s="126"/>
      <c r="R60" s="126"/>
      <c r="S60" s="126"/>
      <c r="T60" s="126"/>
      <c r="U60" s="126"/>
      <c r="V60" s="126"/>
    </row>
    <row r="61" spans="2:22" ht="14.4" x14ac:dyDescent="0.3">
      <c r="B61" s="390" t="s">
        <v>86</v>
      </c>
      <c r="C61" s="261" t="s">
        <v>87</v>
      </c>
      <c r="D61" s="261"/>
      <c r="E61" s="240"/>
      <c r="F61" s="241"/>
      <c r="G61" s="452"/>
      <c r="H61" s="450"/>
      <c r="N61" s="224"/>
      <c r="O61" s="126"/>
      <c r="P61" s="126"/>
      <c r="Q61" s="126"/>
      <c r="R61" s="126"/>
      <c r="S61" s="126"/>
      <c r="T61" s="126"/>
      <c r="U61" s="126"/>
      <c r="V61" s="126"/>
    </row>
    <row r="62" spans="2:22" ht="14.4" x14ac:dyDescent="0.3">
      <c r="B62" s="84"/>
      <c r="C62" s="265" t="s">
        <v>55</v>
      </c>
      <c r="D62" s="491" t="s">
        <v>88</v>
      </c>
      <c r="E62" s="243">
        <v>18</v>
      </c>
      <c r="F62" s="345" t="s">
        <v>57</v>
      </c>
      <c r="G62" s="452"/>
      <c r="H62" s="450"/>
      <c r="N62" s="224"/>
      <c r="O62" s="126"/>
      <c r="P62" s="126"/>
      <c r="Q62" s="126"/>
      <c r="R62" s="126"/>
      <c r="S62" s="126"/>
      <c r="T62" s="126"/>
      <c r="U62" s="126"/>
      <c r="V62" s="126"/>
    </row>
    <row r="63" spans="2:22" ht="14.4" x14ac:dyDescent="0.3">
      <c r="B63" s="84"/>
      <c r="C63" s="265" t="s">
        <v>61</v>
      </c>
      <c r="D63" s="511"/>
      <c r="E63" s="243">
        <v>5</v>
      </c>
      <c r="F63" s="345" t="s">
        <v>57</v>
      </c>
      <c r="G63" s="452"/>
      <c r="H63" s="450"/>
      <c r="N63" s="224"/>
      <c r="O63" s="126"/>
      <c r="P63" s="126"/>
      <c r="Q63" s="126"/>
      <c r="R63" s="126"/>
      <c r="S63" s="126"/>
      <c r="T63" s="126"/>
      <c r="U63" s="126"/>
      <c r="V63" s="126"/>
    </row>
    <row r="64" spans="2:22" ht="14.4" x14ac:dyDescent="0.3">
      <c r="B64" s="390" t="s">
        <v>89</v>
      </c>
      <c r="C64" s="261" t="s">
        <v>90</v>
      </c>
      <c r="D64" s="261"/>
      <c r="E64" s="240"/>
      <c r="F64" s="241"/>
      <c r="G64" s="452"/>
      <c r="H64" s="450"/>
      <c r="N64" s="224"/>
      <c r="O64" s="126"/>
      <c r="P64" s="126"/>
      <c r="Q64" s="126"/>
      <c r="R64" s="126"/>
      <c r="S64" s="126"/>
      <c r="T64" s="126"/>
      <c r="U64" s="126"/>
      <c r="V64" s="126"/>
    </row>
    <row r="65" spans="2:22" ht="14.4" x14ac:dyDescent="0.3">
      <c r="B65" s="84"/>
      <c r="C65" s="265" t="s">
        <v>55</v>
      </c>
      <c r="D65" s="491" t="s">
        <v>84</v>
      </c>
      <c r="E65" s="243">
        <v>1</v>
      </c>
      <c r="F65" s="345" t="s">
        <v>57</v>
      </c>
      <c r="G65" s="452"/>
      <c r="H65" s="450"/>
      <c r="N65" s="224"/>
      <c r="O65" s="126"/>
      <c r="P65" s="126"/>
      <c r="Q65" s="126"/>
      <c r="R65" s="126"/>
      <c r="S65" s="126"/>
      <c r="T65" s="126"/>
      <c r="U65" s="126"/>
      <c r="V65" s="126"/>
    </row>
    <row r="66" spans="2:22" ht="14.4" x14ac:dyDescent="0.3">
      <c r="B66" s="457"/>
      <c r="C66" s="265" t="s">
        <v>60</v>
      </c>
      <c r="D66" s="492"/>
      <c r="E66" s="243">
        <v>1</v>
      </c>
      <c r="F66" s="345" t="s">
        <v>57</v>
      </c>
      <c r="G66" s="458"/>
      <c r="H66" s="451"/>
      <c r="N66" s="224"/>
      <c r="O66" s="126"/>
      <c r="P66" s="126"/>
      <c r="Q66" s="126"/>
      <c r="R66" s="126"/>
      <c r="S66" s="126"/>
      <c r="T66" s="126"/>
      <c r="U66" s="126"/>
      <c r="V66" s="126"/>
    </row>
    <row r="67" spans="2:22" ht="14.4" x14ac:dyDescent="0.3">
      <c r="B67" s="454" t="s">
        <v>91</v>
      </c>
      <c r="C67" s="317" t="s">
        <v>92</v>
      </c>
      <c r="D67" s="317"/>
      <c r="E67" s="455"/>
      <c r="F67" s="456"/>
      <c r="G67" s="452"/>
      <c r="H67" s="450"/>
      <c r="N67" s="224"/>
      <c r="O67" s="126"/>
      <c r="P67" s="126"/>
      <c r="Q67" s="126"/>
      <c r="R67" s="126"/>
      <c r="S67" s="126"/>
      <c r="T67" s="126"/>
      <c r="U67" s="126"/>
      <c r="V67" s="126"/>
    </row>
    <row r="68" spans="2:22" ht="14.4" x14ac:dyDescent="0.3">
      <c r="B68" s="84"/>
      <c r="C68" s="265" t="s">
        <v>55</v>
      </c>
      <c r="D68" s="383" t="s">
        <v>84</v>
      </c>
      <c r="E68" s="243">
        <v>1</v>
      </c>
      <c r="F68" s="345" t="s">
        <v>93</v>
      </c>
      <c r="G68" s="452"/>
      <c r="H68" s="450"/>
      <c r="N68" s="224"/>
      <c r="O68" s="126"/>
      <c r="P68" s="126"/>
      <c r="Q68" s="126"/>
      <c r="R68" s="126"/>
      <c r="S68" s="126"/>
      <c r="T68" s="126"/>
      <c r="U68" s="126"/>
      <c r="V68" s="126"/>
    </row>
    <row r="69" spans="2:22" ht="14.4" x14ac:dyDescent="0.3">
      <c r="B69" s="390" t="s">
        <v>94</v>
      </c>
      <c r="C69" s="261" t="s">
        <v>95</v>
      </c>
      <c r="D69" s="261"/>
      <c r="E69" s="240"/>
      <c r="F69" s="241"/>
      <c r="G69" s="452"/>
      <c r="H69" s="450"/>
      <c r="N69" s="224"/>
      <c r="O69" s="126"/>
      <c r="P69" s="126"/>
      <c r="Q69" s="126"/>
      <c r="R69" s="126"/>
      <c r="S69" s="126"/>
      <c r="T69" s="126"/>
      <c r="U69" s="126"/>
      <c r="V69" s="126"/>
    </row>
    <row r="70" spans="2:22" ht="14.4" x14ac:dyDescent="0.3">
      <c r="B70" s="84"/>
      <c r="C70" s="265" t="s">
        <v>96</v>
      </c>
      <c r="D70" s="383" t="s">
        <v>84</v>
      </c>
      <c r="E70" s="243">
        <v>1</v>
      </c>
      <c r="F70" s="345" t="s">
        <v>93</v>
      </c>
      <c r="G70" s="452"/>
      <c r="H70" s="450"/>
      <c r="N70" s="224"/>
      <c r="O70" s="126"/>
      <c r="P70" s="126"/>
      <c r="Q70" s="126"/>
      <c r="R70" s="126"/>
      <c r="S70" s="126"/>
      <c r="T70" s="126"/>
      <c r="U70" s="126"/>
      <c r="V70" s="126"/>
    </row>
    <row r="71" spans="2:22" ht="14.4" x14ac:dyDescent="0.3">
      <c r="B71" s="390" t="s">
        <v>97</v>
      </c>
      <c r="C71" s="261" t="s">
        <v>98</v>
      </c>
      <c r="D71" s="261"/>
      <c r="E71" s="240"/>
      <c r="F71" s="241"/>
      <c r="G71" s="452"/>
      <c r="H71" s="450"/>
      <c r="N71" s="224"/>
      <c r="O71" s="126"/>
      <c r="P71" s="126"/>
      <c r="Q71" s="126"/>
      <c r="R71" s="126"/>
      <c r="S71" s="126"/>
      <c r="T71" s="126"/>
      <c r="U71" s="126"/>
      <c r="V71" s="126"/>
    </row>
    <row r="72" spans="2:22" ht="29.25" customHeight="1" x14ac:dyDescent="0.3">
      <c r="B72" s="84"/>
      <c r="C72" s="265" t="s">
        <v>79</v>
      </c>
      <c r="D72" s="491" t="s">
        <v>99</v>
      </c>
      <c r="E72" s="515">
        <v>285</v>
      </c>
      <c r="F72" s="518" t="s">
        <v>57</v>
      </c>
      <c r="G72" s="452"/>
      <c r="H72" s="450"/>
      <c r="N72" s="224"/>
      <c r="O72" s="126"/>
      <c r="P72" s="126"/>
      <c r="Q72" s="126"/>
      <c r="R72" s="126"/>
      <c r="S72" s="126"/>
      <c r="T72" s="126"/>
      <c r="U72" s="126"/>
      <c r="V72" s="126"/>
    </row>
    <row r="73" spans="2:22" ht="14.4" x14ac:dyDescent="0.3">
      <c r="B73" s="84"/>
      <c r="C73" s="265" t="s">
        <v>69</v>
      </c>
      <c r="D73" s="511"/>
      <c r="E73" s="516"/>
      <c r="F73" s="519"/>
      <c r="G73" s="452"/>
      <c r="H73" s="450"/>
      <c r="N73" s="224"/>
      <c r="O73" s="126"/>
      <c r="P73" s="126"/>
      <c r="Q73" s="126"/>
      <c r="R73" s="126"/>
      <c r="S73" s="126"/>
      <c r="T73" s="126"/>
      <c r="U73" s="126"/>
      <c r="V73" s="126"/>
    </row>
    <row r="74" spans="2:22" ht="14.4" x14ac:dyDescent="0.3">
      <c r="B74" s="84"/>
      <c r="C74" s="265" t="s">
        <v>80</v>
      </c>
      <c r="D74" s="492"/>
      <c r="E74" s="517"/>
      <c r="F74" s="520"/>
      <c r="G74" s="452"/>
      <c r="H74" s="450"/>
      <c r="N74" s="224"/>
      <c r="O74" s="126"/>
      <c r="P74" s="126"/>
      <c r="Q74" s="126"/>
      <c r="R74" s="126"/>
      <c r="S74" s="126"/>
      <c r="T74" s="126"/>
      <c r="U74" s="126"/>
      <c r="V74" s="126"/>
    </row>
    <row r="75" spans="2:22" ht="14.4" x14ac:dyDescent="0.3">
      <c r="B75" s="390" t="s">
        <v>100</v>
      </c>
      <c r="C75" s="261" t="s">
        <v>101</v>
      </c>
      <c r="D75" s="261"/>
      <c r="E75" s="240"/>
      <c r="F75" s="241"/>
      <c r="G75" s="452"/>
      <c r="H75" s="450"/>
      <c r="N75" s="224"/>
      <c r="O75" s="126"/>
      <c r="P75" s="126"/>
      <c r="Q75" s="126"/>
      <c r="R75" s="126"/>
      <c r="S75" s="126"/>
      <c r="T75" s="126"/>
      <c r="U75" s="126"/>
      <c r="V75" s="126"/>
    </row>
    <row r="76" spans="2:22" ht="14.4" x14ac:dyDescent="0.3">
      <c r="B76" s="84"/>
      <c r="C76" s="265" t="s">
        <v>55</v>
      </c>
      <c r="D76" s="487" t="s">
        <v>84</v>
      </c>
      <c r="E76" s="243">
        <v>452</v>
      </c>
      <c r="F76" s="345" t="s">
        <v>57</v>
      </c>
      <c r="G76" s="452"/>
      <c r="H76" s="450"/>
      <c r="N76" s="224"/>
      <c r="O76" s="126"/>
      <c r="P76" s="126"/>
      <c r="Q76" s="126"/>
      <c r="R76" s="126"/>
      <c r="S76" s="126"/>
      <c r="T76" s="126"/>
      <c r="U76" s="126"/>
      <c r="V76" s="126"/>
    </row>
    <row r="77" spans="2:22" ht="14.4" x14ac:dyDescent="0.3">
      <c r="B77" s="84"/>
      <c r="C77" s="266" t="s">
        <v>58</v>
      </c>
      <c r="D77" s="488"/>
      <c r="E77" s="243">
        <v>88</v>
      </c>
      <c r="F77" s="345" t="s">
        <v>57</v>
      </c>
      <c r="G77" s="452"/>
      <c r="H77" s="450"/>
      <c r="N77" s="224"/>
      <c r="O77" s="126"/>
      <c r="P77" s="126"/>
      <c r="Q77" s="126"/>
      <c r="R77" s="126"/>
      <c r="S77" s="126"/>
      <c r="T77" s="126"/>
      <c r="U77" s="126"/>
      <c r="V77" s="126"/>
    </row>
    <row r="78" spans="2:22" ht="14.4" x14ac:dyDescent="0.3">
      <c r="B78" s="84"/>
      <c r="C78" s="265" t="s">
        <v>59</v>
      </c>
      <c r="D78" s="488"/>
      <c r="E78" s="243">
        <v>116</v>
      </c>
      <c r="F78" s="345" t="s">
        <v>57</v>
      </c>
      <c r="G78" s="452"/>
      <c r="H78" s="450"/>
      <c r="N78" s="224"/>
      <c r="O78" s="126"/>
      <c r="P78" s="126"/>
      <c r="Q78" s="126"/>
      <c r="R78" s="126"/>
      <c r="S78" s="126"/>
      <c r="T78" s="126"/>
      <c r="U78" s="126"/>
      <c r="V78" s="126"/>
    </row>
    <row r="79" spans="2:22" ht="14.4" x14ac:dyDescent="0.3">
      <c r="B79" s="84"/>
      <c r="C79" s="265" t="s">
        <v>73</v>
      </c>
      <c r="D79" s="488"/>
      <c r="E79" s="243">
        <v>92</v>
      </c>
      <c r="F79" s="345" t="s">
        <v>57</v>
      </c>
      <c r="G79" s="452"/>
      <c r="H79" s="450"/>
      <c r="N79" s="224"/>
      <c r="O79" s="126"/>
      <c r="P79" s="126"/>
      <c r="Q79" s="126"/>
      <c r="R79" s="126"/>
      <c r="S79" s="126"/>
      <c r="T79" s="126"/>
      <c r="U79" s="126"/>
      <c r="V79" s="126"/>
    </row>
    <row r="80" spans="2:22" ht="14.4" x14ac:dyDescent="0.3">
      <c r="B80" s="84"/>
      <c r="C80" s="266" t="s">
        <v>60</v>
      </c>
      <c r="D80" s="488"/>
      <c r="E80" s="243">
        <v>200</v>
      </c>
      <c r="F80" s="345" t="s">
        <v>57</v>
      </c>
      <c r="G80" s="452"/>
      <c r="H80" s="450"/>
      <c r="N80" s="224"/>
      <c r="O80" s="126"/>
      <c r="P80" s="126"/>
      <c r="Q80" s="126"/>
      <c r="R80" s="126"/>
      <c r="S80" s="126"/>
      <c r="T80" s="126"/>
      <c r="U80" s="126"/>
      <c r="V80" s="126"/>
    </row>
    <row r="81" spans="2:22" ht="14.4" x14ac:dyDescent="0.3">
      <c r="B81" s="84"/>
      <c r="C81" s="265" t="s">
        <v>61</v>
      </c>
      <c r="D81" s="488"/>
      <c r="E81" s="243">
        <v>157</v>
      </c>
      <c r="F81" s="345" t="s">
        <v>57</v>
      </c>
      <c r="G81" s="452"/>
      <c r="H81" s="450"/>
      <c r="N81" s="224"/>
      <c r="O81" s="126"/>
      <c r="P81" s="126"/>
      <c r="Q81" s="126"/>
      <c r="R81" s="126"/>
      <c r="S81" s="126"/>
      <c r="T81" s="126"/>
      <c r="U81" s="126"/>
      <c r="V81" s="126"/>
    </row>
    <row r="82" spans="2:22" ht="14.4" x14ac:dyDescent="0.3">
      <c r="B82" s="84"/>
      <c r="C82" s="266" t="s">
        <v>62</v>
      </c>
      <c r="D82" s="488"/>
      <c r="E82" s="243">
        <v>59</v>
      </c>
      <c r="F82" s="345" t="s">
        <v>57</v>
      </c>
      <c r="G82" s="452"/>
      <c r="H82" s="450"/>
      <c r="N82" s="224"/>
      <c r="O82" s="126"/>
      <c r="P82" s="126"/>
      <c r="Q82" s="126"/>
      <c r="R82" s="126"/>
      <c r="S82" s="126"/>
      <c r="T82" s="126"/>
      <c r="U82" s="126"/>
      <c r="V82" s="126"/>
    </row>
    <row r="83" spans="2:22" ht="14.4" x14ac:dyDescent="0.3">
      <c r="B83" s="84"/>
      <c r="C83" s="265" t="s">
        <v>102</v>
      </c>
      <c r="D83" s="488"/>
      <c r="E83" s="243">
        <v>244</v>
      </c>
      <c r="F83" s="345" t="s">
        <v>57</v>
      </c>
      <c r="G83" s="452"/>
      <c r="H83" s="450"/>
      <c r="N83" s="224"/>
      <c r="O83" s="126"/>
      <c r="P83" s="126"/>
      <c r="Q83" s="126"/>
      <c r="R83" s="126"/>
      <c r="S83" s="126"/>
      <c r="T83" s="126"/>
      <c r="U83" s="126"/>
      <c r="V83" s="126"/>
    </row>
    <row r="84" spans="2:22" ht="14.4" x14ac:dyDescent="0.3">
      <c r="B84" s="84"/>
      <c r="C84" s="265" t="s">
        <v>103</v>
      </c>
      <c r="D84" s="488"/>
      <c r="E84" s="243">
        <v>52</v>
      </c>
      <c r="F84" s="345" t="s">
        <v>57</v>
      </c>
      <c r="G84" s="452"/>
      <c r="H84" s="450"/>
      <c r="N84" s="224"/>
      <c r="O84" s="126"/>
      <c r="P84" s="126"/>
      <c r="Q84" s="126"/>
      <c r="R84" s="126"/>
      <c r="S84" s="126"/>
      <c r="T84" s="126"/>
      <c r="U84" s="126"/>
      <c r="V84" s="126"/>
    </row>
    <row r="85" spans="2:22" ht="14.4" x14ac:dyDescent="0.3">
      <c r="B85" s="84"/>
      <c r="C85" s="265" t="s">
        <v>104</v>
      </c>
      <c r="D85" s="489"/>
      <c r="E85" s="243">
        <v>45</v>
      </c>
      <c r="F85" s="345" t="s">
        <v>57</v>
      </c>
      <c r="G85" s="452"/>
      <c r="H85" s="450"/>
      <c r="N85" s="224"/>
      <c r="O85" s="126"/>
      <c r="P85" s="126"/>
      <c r="Q85" s="126"/>
      <c r="R85" s="126"/>
      <c r="S85" s="126"/>
      <c r="T85" s="126"/>
      <c r="U85" s="126"/>
      <c r="V85" s="126"/>
    </row>
    <row r="86" spans="2:22" ht="14.4" x14ac:dyDescent="0.3">
      <c r="B86" s="390" t="s">
        <v>105</v>
      </c>
      <c r="C86" s="261" t="s">
        <v>106</v>
      </c>
      <c r="D86" s="261"/>
      <c r="E86" s="240"/>
      <c r="F86" s="241"/>
      <c r="G86" s="452"/>
      <c r="H86" s="450"/>
      <c r="N86" s="224"/>
      <c r="O86" s="126"/>
      <c r="P86" s="126"/>
      <c r="Q86" s="126"/>
      <c r="R86" s="126"/>
      <c r="S86" s="126"/>
      <c r="T86" s="126"/>
      <c r="U86" s="126"/>
      <c r="V86" s="126"/>
    </row>
    <row r="87" spans="2:22" ht="14.4" x14ac:dyDescent="0.3">
      <c r="B87" s="84"/>
      <c r="C87" s="265" t="s">
        <v>55</v>
      </c>
      <c r="D87" s="487" t="s">
        <v>84</v>
      </c>
      <c r="E87" s="243">
        <v>13</v>
      </c>
      <c r="F87" s="345" t="s">
        <v>57</v>
      </c>
      <c r="G87" s="452"/>
      <c r="H87" s="450"/>
      <c r="N87" s="224"/>
      <c r="O87" s="126"/>
      <c r="P87" s="126"/>
      <c r="Q87" s="126"/>
      <c r="R87" s="126"/>
      <c r="S87" s="126"/>
      <c r="T87" s="126"/>
      <c r="U87" s="126"/>
      <c r="V87" s="126"/>
    </row>
    <row r="88" spans="2:22" ht="14.4" x14ac:dyDescent="0.3">
      <c r="B88" s="84"/>
      <c r="C88" s="266" t="s">
        <v>58</v>
      </c>
      <c r="D88" s="488"/>
      <c r="E88" s="243">
        <v>2</v>
      </c>
      <c r="F88" s="345" t="s">
        <v>57</v>
      </c>
      <c r="G88" s="452"/>
      <c r="H88" s="450"/>
      <c r="N88" s="224"/>
      <c r="O88" s="126"/>
      <c r="P88" s="126"/>
      <c r="Q88" s="126"/>
      <c r="R88" s="126"/>
      <c r="S88" s="126"/>
      <c r="T88" s="126"/>
      <c r="U88" s="126"/>
      <c r="V88" s="126"/>
    </row>
    <row r="89" spans="2:22" ht="14.4" x14ac:dyDescent="0.3">
      <c r="B89" s="84"/>
      <c r="C89" s="265" t="s">
        <v>59</v>
      </c>
      <c r="D89" s="488"/>
      <c r="E89" s="243">
        <v>1</v>
      </c>
      <c r="F89" s="345" t="s">
        <v>57</v>
      </c>
      <c r="G89" s="452"/>
      <c r="H89" s="450"/>
      <c r="N89" s="224"/>
      <c r="O89" s="126"/>
      <c r="P89" s="126"/>
      <c r="Q89" s="126"/>
      <c r="R89" s="126"/>
      <c r="S89" s="126"/>
      <c r="T89" s="126"/>
      <c r="U89" s="126"/>
      <c r="V89" s="126"/>
    </row>
    <row r="90" spans="2:22" ht="14.4" x14ac:dyDescent="0.3">
      <c r="B90" s="84"/>
      <c r="C90" s="265" t="s">
        <v>61</v>
      </c>
      <c r="D90" s="488"/>
      <c r="E90" s="243">
        <v>1</v>
      </c>
      <c r="F90" s="345" t="s">
        <v>57</v>
      </c>
      <c r="G90" s="452"/>
      <c r="H90" s="450"/>
      <c r="N90" s="224"/>
      <c r="O90" s="126"/>
      <c r="P90" s="126"/>
      <c r="Q90" s="126"/>
      <c r="R90" s="126"/>
      <c r="S90" s="126"/>
      <c r="T90" s="126"/>
      <c r="U90" s="126"/>
      <c r="V90" s="126"/>
    </row>
    <row r="91" spans="2:22" ht="14.4" x14ac:dyDescent="0.3">
      <c r="B91" s="84"/>
      <c r="C91" s="266" t="s">
        <v>62</v>
      </c>
      <c r="D91" s="488"/>
      <c r="E91" s="243">
        <v>1</v>
      </c>
      <c r="F91" s="345" t="s">
        <v>57</v>
      </c>
      <c r="G91" s="452"/>
      <c r="H91" s="450"/>
      <c r="N91" s="224"/>
      <c r="O91" s="126"/>
      <c r="P91" s="126"/>
      <c r="Q91" s="126"/>
      <c r="R91" s="126"/>
      <c r="S91" s="126"/>
      <c r="T91" s="126"/>
      <c r="U91" s="126"/>
      <c r="V91" s="126"/>
    </row>
    <row r="92" spans="2:22" ht="14.4" x14ac:dyDescent="0.3">
      <c r="B92" s="390" t="s">
        <v>107</v>
      </c>
      <c r="C92" s="261" t="s">
        <v>108</v>
      </c>
      <c r="D92" s="261"/>
      <c r="E92" s="240"/>
      <c r="F92" s="241"/>
      <c r="G92" s="452"/>
      <c r="H92" s="450"/>
      <c r="N92" s="224"/>
      <c r="O92" s="126"/>
      <c r="P92" s="126"/>
      <c r="Q92" s="126"/>
      <c r="R92" s="126"/>
      <c r="S92" s="126"/>
      <c r="T92" s="126"/>
      <c r="U92" s="126"/>
      <c r="V92" s="126"/>
    </row>
    <row r="93" spans="2:22" ht="14.4" x14ac:dyDescent="0.3">
      <c r="B93" s="84"/>
      <c r="C93" s="265" t="s">
        <v>55</v>
      </c>
      <c r="D93" s="384" t="s">
        <v>84</v>
      </c>
      <c r="E93" s="243">
        <v>2</v>
      </c>
      <c r="F93" s="345" t="s">
        <v>57</v>
      </c>
      <c r="G93" s="452"/>
      <c r="H93" s="450"/>
      <c r="N93" s="224"/>
      <c r="O93" s="126"/>
      <c r="P93" s="126"/>
      <c r="Q93" s="126"/>
      <c r="R93" s="126"/>
      <c r="S93" s="126"/>
      <c r="T93" s="126"/>
      <c r="U93" s="126"/>
      <c r="V93" s="126"/>
    </row>
    <row r="94" spans="2:22" ht="14.4" x14ac:dyDescent="0.3">
      <c r="B94" s="84"/>
      <c r="C94" s="266" t="s">
        <v>109</v>
      </c>
      <c r="D94" s="385"/>
      <c r="E94" s="243">
        <v>4</v>
      </c>
      <c r="F94" s="345" t="s">
        <v>57</v>
      </c>
      <c r="G94" s="452"/>
      <c r="H94" s="450"/>
      <c r="N94" s="224"/>
      <c r="O94" s="126"/>
      <c r="P94" s="126"/>
      <c r="Q94" s="126"/>
      <c r="R94" s="126"/>
      <c r="S94" s="126"/>
      <c r="T94" s="126"/>
      <c r="U94" s="126"/>
      <c r="V94" s="126"/>
    </row>
    <row r="95" spans="2:22" ht="14.4" x14ac:dyDescent="0.3">
      <c r="B95" s="390" t="s">
        <v>110</v>
      </c>
      <c r="C95" s="261" t="s">
        <v>111</v>
      </c>
      <c r="D95" s="271"/>
      <c r="E95" s="240"/>
      <c r="F95" s="241"/>
      <c r="G95" s="452"/>
      <c r="H95" s="450"/>
      <c r="N95" s="224"/>
      <c r="O95" s="126"/>
      <c r="P95" s="126"/>
      <c r="Q95" s="126"/>
      <c r="R95" s="126"/>
      <c r="S95" s="126"/>
      <c r="T95" s="126"/>
      <c r="U95" s="126"/>
      <c r="V95" s="126"/>
    </row>
    <row r="96" spans="2:22" ht="16.5" customHeight="1" x14ac:dyDescent="0.3">
      <c r="B96" s="84"/>
      <c r="C96" s="272" t="s">
        <v>112</v>
      </c>
      <c r="D96" s="523" t="s">
        <v>113</v>
      </c>
      <c r="E96" s="274">
        <v>1</v>
      </c>
      <c r="F96" s="345" t="s">
        <v>57</v>
      </c>
      <c r="G96" s="452"/>
      <c r="H96" s="450"/>
      <c r="N96" s="224"/>
      <c r="O96" s="126"/>
      <c r="P96" s="126"/>
      <c r="Q96" s="126"/>
      <c r="R96" s="126"/>
      <c r="S96" s="126"/>
      <c r="T96" s="126"/>
      <c r="U96" s="126"/>
      <c r="V96" s="126"/>
    </row>
    <row r="97" spans="2:22" ht="14.4" x14ac:dyDescent="0.3">
      <c r="B97" s="84"/>
      <c r="C97" s="391" t="s">
        <v>114</v>
      </c>
      <c r="D97" s="524"/>
      <c r="E97" s="274">
        <v>1</v>
      </c>
      <c r="F97" s="345" t="s">
        <v>57</v>
      </c>
      <c r="G97" s="452"/>
      <c r="H97" s="450"/>
      <c r="N97" s="224"/>
      <c r="O97" s="126"/>
      <c r="P97" s="126"/>
      <c r="Q97" s="126"/>
      <c r="R97" s="126"/>
      <c r="S97" s="126"/>
      <c r="T97" s="126"/>
      <c r="U97" s="126"/>
      <c r="V97" s="126"/>
    </row>
    <row r="98" spans="2:22" ht="14.4" x14ac:dyDescent="0.3">
      <c r="B98" s="84"/>
      <c r="C98" s="273" t="s">
        <v>115</v>
      </c>
      <c r="D98" s="386" t="s">
        <v>113</v>
      </c>
      <c r="E98" s="274">
        <v>1</v>
      </c>
      <c r="F98" s="345" t="s">
        <v>57</v>
      </c>
      <c r="G98" s="452"/>
      <c r="H98" s="450"/>
      <c r="N98" s="224"/>
      <c r="O98" s="126"/>
      <c r="P98" s="126"/>
      <c r="Q98" s="126"/>
      <c r="R98" s="126"/>
      <c r="S98" s="126"/>
      <c r="T98" s="126"/>
      <c r="U98" s="126"/>
      <c r="V98" s="126"/>
    </row>
    <row r="99" spans="2:22" ht="14.4" x14ac:dyDescent="0.3">
      <c r="B99" s="390" t="s">
        <v>116</v>
      </c>
      <c r="C99" s="261" t="s">
        <v>117</v>
      </c>
      <c r="D99" s="271"/>
      <c r="E99" s="240"/>
      <c r="F99" s="241"/>
      <c r="G99" s="452"/>
      <c r="H99" s="450"/>
      <c r="N99" s="224"/>
      <c r="O99" s="126"/>
      <c r="P99" s="126"/>
      <c r="Q99" s="126"/>
      <c r="R99" s="126"/>
      <c r="S99" s="126"/>
      <c r="T99" s="126"/>
      <c r="U99" s="126"/>
      <c r="V99" s="126"/>
    </row>
    <row r="100" spans="2:22" ht="14.4" x14ac:dyDescent="0.3">
      <c r="B100" s="84"/>
      <c r="C100" s="272" t="s">
        <v>118</v>
      </c>
      <c r="D100" s="490" t="s">
        <v>119</v>
      </c>
      <c r="E100" s="274">
        <v>1</v>
      </c>
      <c r="F100" s="345" t="s">
        <v>57</v>
      </c>
      <c r="G100" s="452"/>
      <c r="H100" s="450"/>
      <c r="N100" s="224"/>
      <c r="O100" s="126"/>
      <c r="P100" s="126"/>
      <c r="Q100" s="126"/>
      <c r="R100" s="126"/>
      <c r="S100" s="126"/>
      <c r="T100" s="126"/>
      <c r="U100" s="126"/>
      <c r="V100" s="126"/>
    </row>
    <row r="101" spans="2:22" ht="14.4" x14ac:dyDescent="0.3">
      <c r="B101" s="84"/>
      <c r="C101" s="272" t="s">
        <v>120</v>
      </c>
      <c r="D101" s="490"/>
      <c r="E101" s="274">
        <v>1</v>
      </c>
      <c r="F101" s="345" t="s">
        <v>57</v>
      </c>
      <c r="G101" s="452"/>
      <c r="H101" s="450"/>
      <c r="N101" s="224"/>
      <c r="O101" s="126"/>
      <c r="P101" s="126"/>
      <c r="Q101" s="126"/>
      <c r="R101" s="126"/>
      <c r="S101" s="126"/>
      <c r="T101" s="126"/>
      <c r="U101" s="126"/>
      <c r="V101" s="126"/>
    </row>
    <row r="102" spans="2:22" ht="14.4" x14ac:dyDescent="0.3">
      <c r="B102" s="84"/>
      <c r="C102" s="272" t="s">
        <v>121</v>
      </c>
      <c r="D102" s="490"/>
      <c r="E102" s="274">
        <v>1</v>
      </c>
      <c r="F102" s="345" t="s">
        <v>57</v>
      </c>
      <c r="G102" s="452"/>
      <c r="H102" s="450"/>
      <c r="N102" s="224"/>
      <c r="O102" s="126"/>
      <c r="P102" s="126"/>
      <c r="Q102" s="126"/>
      <c r="R102" s="126"/>
      <c r="S102" s="126"/>
      <c r="T102" s="126"/>
      <c r="U102" s="126"/>
      <c r="V102" s="126"/>
    </row>
    <row r="103" spans="2:22" ht="14.4" x14ac:dyDescent="0.3">
      <c r="B103" s="390" t="s">
        <v>122</v>
      </c>
      <c r="C103" s="261" t="s">
        <v>123</v>
      </c>
      <c r="D103" s="159"/>
      <c r="E103" s="240"/>
      <c r="F103" s="241"/>
      <c r="G103" s="452"/>
      <c r="H103" s="450"/>
      <c r="N103" s="224"/>
      <c r="O103" s="126"/>
      <c r="P103" s="126"/>
      <c r="Q103" s="126"/>
      <c r="R103" s="126"/>
      <c r="S103" s="126"/>
      <c r="T103" s="126"/>
      <c r="U103" s="126"/>
      <c r="V103" s="126"/>
    </row>
    <row r="104" spans="2:22" ht="16.5" customHeight="1" x14ac:dyDescent="0.3">
      <c r="B104" s="84"/>
      <c r="C104" s="272" t="s">
        <v>55</v>
      </c>
      <c r="D104" s="490" t="s">
        <v>84</v>
      </c>
      <c r="E104" s="274">
        <v>3</v>
      </c>
      <c r="F104" s="345" t="s">
        <v>57</v>
      </c>
      <c r="G104" s="452"/>
      <c r="H104" s="450"/>
      <c r="N104" s="224"/>
      <c r="O104" s="126"/>
      <c r="P104" s="126"/>
      <c r="Q104" s="126"/>
      <c r="R104" s="126"/>
      <c r="S104" s="126"/>
      <c r="T104" s="126"/>
      <c r="U104" s="126"/>
      <c r="V104" s="126"/>
    </row>
    <row r="105" spans="2:22" ht="14.4" x14ac:dyDescent="0.3">
      <c r="B105" s="84"/>
      <c r="C105" s="273" t="s">
        <v>58</v>
      </c>
      <c r="D105" s="490"/>
      <c r="E105" s="274">
        <v>21</v>
      </c>
      <c r="F105" s="345" t="s">
        <v>57</v>
      </c>
      <c r="G105" s="452"/>
      <c r="H105" s="450"/>
      <c r="N105" s="224"/>
      <c r="O105" s="126"/>
      <c r="P105" s="126"/>
      <c r="Q105" s="126"/>
      <c r="R105" s="126"/>
      <c r="S105" s="126"/>
      <c r="T105" s="126"/>
      <c r="U105" s="126"/>
      <c r="V105" s="126"/>
    </row>
    <row r="106" spans="2:22" ht="14.4" x14ac:dyDescent="0.3">
      <c r="B106" s="85" t="s">
        <v>124</v>
      </c>
      <c r="C106" s="81" t="s">
        <v>125</v>
      </c>
      <c r="D106" s="275"/>
      <c r="E106" s="244">
        <v>1</v>
      </c>
      <c r="F106" s="239" t="s">
        <v>93</v>
      </c>
      <c r="G106" s="453"/>
      <c r="H106" s="451"/>
      <c r="N106" s="224"/>
      <c r="O106" s="126"/>
      <c r="P106" s="126"/>
      <c r="Q106" s="126"/>
      <c r="R106" s="126"/>
      <c r="S106" s="126"/>
      <c r="T106" s="126"/>
      <c r="U106" s="126"/>
      <c r="V106" s="126"/>
    </row>
    <row r="107" spans="2:22" ht="14.4" x14ac:dyDescent="0.3">
      <c r="B107" s="245"/>
      <c r="C107" s="486" t="s">
        <v>126</v>
      </c>
      <c r="D107" s="486"/>
      <c r="E107" s="486"/>
      <c r="F107" s="486"/>
      <c r="G107" s="264">
        <f>SUM(G25:G106)</f>
        <v>123486538.60416667</v>
      </c>
      <c r="H107" s="247">
        <f>SUM(H25:H106)</f>
        <v>1481838463.25</v>
      </c>
      <c r="N107" s="224"/>
      <c r="O107" s="126"/>
      <c r="P107" s="126"/>
      <c r="Q107" s="126"/>
      <c r="R107" s="126"/>
      <c r="S107" s="126"/>
      <c r="T107" s="126"/>
      <c r="U107" s="126"/>
      <c r="V107" s="126"/>
    </row>
    <row r="108" spans="2:22" ht="14.4" x14ac:dyDescent="0.3">
      <c r="B108" s="234">
        <v>2</v>
      </c>
      <c r="C108" s="278" t="str">
        <f>C12</f>
        <v>MAINTENANCE AC</v>
      </c>
      <c r="D108" s="278"/>
      <c r="E108" s="279"/>
      <c r="F108" s="280"/>
      <c r="G108" s="281"/>
      <c r="H108" s="282"/>
      <c r="N108" s="224"/>
      <c r="O108" s="126"/>
      <c r="P108" s="126"/>
      <c r="Q108" s="126"/>
      <c r="R108" s="126"/>
      <c r="S108" s="126"/>
      <c r="T108" s="126"/>
      <c r="U108" s="126"/>
      <c r="V108" s="126"/>
    </row>
    <row r="109" spans="2:22" ht="14.4" x14ac:dyDescent="0.3">
      <c r="B109" s="276"/>
      <c r="C109" s="318" t="s">
        <v>55</v>
      </c>
      <c r="D109" s="525" t="s">
        <v>56</v>
      </c>
      <c r="E109" s="262">
        <f>394+49</f>
        <v>443</v>
      </c>
      <c r="F109" s="263" t="s">
        <v>57</v>
      </c>
      <c r="G109" s="319">
        <f>112388.153792373*E109</f>
        <v>49787952.130021244</v>
      </c>
      <c r="H109" s="392">
        <f>G109*12</f>
        <v>597455425.56025493</v>
      </c>
      <c r="N109" s="224"/>
      <c r="O109" s="126"/>
      <c r="P109" s="126"/>
      <c r="Q109" s="126"/>
      <c r="R109" s="126"/>
      <c r="S109" s="126"/>
      <c r="T109" s="126"/>
      <c r="U109" s="126"/>
      <c r="V109" s="126"/>
    </row>
    <row r="110" spans="2:22" ht="14.4" x14ac:dyDescent="0.3">
      <c r="B110" s="277"/>
      <c r="C110" s="266" t="s">
        <v>58</v>
      </c>
      <c r="D110" s="526"/>
      <c r="E110" s="262">
        <v>55</v>
      </c>
      <c r="F110" s="263" t="s">
        <v>57</v>
      </c>
      <c r="G110" s="319">
        <f t="shared" ref="G110:G117" si="2">112388.153792373*E110</f>
        <v>6181348.4585805153</v>
      </c>
      <c r="H110" s="392">
        <f t="shared" ref="H110:H117" si="3">G110*12</f>
        <v>74176181.50296618</v>
      </c>
      <c r="N110" s="224"/>
      <c r="O110" s="126"/>
      <c r="P110" s="126"/>
      <c r="Q110" s="126"/>
      <c r="R110" s="126"/>
      <c r="S110" s="126"/>
      <c r="T110" s="126"/>
      <c r="U110" s="126"/>
      <c r="V110" s="126"/>
    </row>
    <row r="111" spans="2:22" ht="14.4" x14ac:dyDescent="0.3">
      <c r="B111" s="277"/>
      <c r="C111" s="318" t="s">
        <v>59</v>
      </c>
      <c r="D111" s="526"/>
      <c r="E111" s="262">
        <v>34</v>
      </c>
      <c r="F111" s="263" t="s">
        <v>57</v>
      </c>
      <c r="G111" s="319">
        <f t="shared" si="2"/>
        <v>3821197.228940682</v>
      </c>
      <c r="H111" s="392">
        <f t="shared" si="3"/>
        <v>45854366.747288182</v>
      </c>
      <c r="N111" s="224"/>
      <c r="O111" s="126"/>
      <c r="P111" s="126"/>
      <c r="Q111" s="126"/>
      <c r="R111" s="126"/>
      <c r="S111" s="126"/>
      <c r="T111" s="126"/>
      <c r="U111" s="126"/>
      <c r="V111" s="126"/>
    </row>
    <row r="112" spans="2:22" ht="14.4" x14ac:dyDescent="0.3">
      <c r="B112" s="277"/>
      <c r="C112" s="266" t="s">
        <v>127</v>
      </c>
      <c r="D112" s="526"/>
      <c r="E112" s="262">
        <v>66</v>
      </c>
      <c r="F112" s="263" t="s">
        <v>57</v>
      </c>
      <c r="G112" s="319">
        <f t="shared" si="2"/>
        <v>7417618.1502966182</v>
      </c>
      <c r="H112" s="392">
        <f t="shared" si="3"/>
        <v>89011417.803559422</v>
      </c>
      <c r="N112" s="224"/>
      <c r="O112" s="126"/>
      <c r="P112" s="126"/>
      <c r="Q112" s="126"/>
      <c r="R112" s="126"/>
      <c r="S112" s="126"/>
      <c r="T112" s="126"/>
      <c r="U112" s="126"/>
      <c r="V112" s="126"/>
    </row>
    <row r="113" spans="2:22" ht="14.4" x14ac:dyDescent="0.3">
      <c r="B113" s="277"/>
      <c r="C113" s="318" t="s">
        <v>61</v>
      </c>
      <c r="D113" s="526"/>
      <c r="E113" s="262">
        <v>120</v>
      </c>
      <c r="F113" s="263" t="s">
        <v>57</v>
      </c>
      <c r="G113" s="319">
        <f t="shared" si="2"/>
        <v>13486578.455084762</v>
      </c>
      <c r="H113" s="392">
        <f t="shared" si="3"/>
        <v>161838941.46101713</v>
      </c>
      <c r="N113" s="224"/>
      <c r="O113" s="126"/>
      <c r="P113" s="126"/>
      <c r="Q113" s="126"/>
      <c r="R113" s="126"/>
      <c r="S113" s="126"/>
      <c r="T113" s="126"/>
      <c r="U113" s="126"/>
      <c r="V113" s="126"/>
    </row>
    <row r="114" spans="2:22" ht="14.4" x14ac:dyDescent="0.3">
      <c r="B114" s="277"/>
      <c r="C114" s="266" t="s">
        <v>128</v>
      </c>
      <c r="D114" s="526"/>
      <c r="E114" s="262">
        <v>16</v>
      </c>
      <c r="F114" s="263" t="s">
        <v>57</v>
      </c>
      <c r="G114" s="319">
        <f t="shared" si="2"/>
        <v>1798210.4606779681</v>
      </c>
      <c r="H114" s="392">
        <f t="shared" si="3"/>
        <v>21578525.528135616</v>
      </c>
      <c r="N114" s="224"/>
      <c r="O114" s="126"/>
      <c r="P114" s="126"/>
      <c r="Q114" s="126"/>
      <c r="R114" s="126"/>
      <c r="S114" s="126"/>
      <c r="T114" s="126"/>
      <c r="U114" s="126"/>
      <c r="V114" s="126"/>
    </row>
    <row r="115" spans="2:22" ht="14.4" x14ac:dyDescent="0.3">
      <c r="B115" s="277"/>
      <c r="C115" s="320" t="s">
        <v>129</v>
      </c>
      <c r="D115" s="526"/>
      <c r="E115" s="321">
        <v>92</v>
      </c>
      <c r="F115" s="387" t="s">
        <v>57</v>
      </c>
      <c r="G115" s="319">
        <f t="shared" si="2"/>
        <v>10339710.148898317</v>
      </c>
      <c r="H115" s="392">
        <f t="shared" si="3"/>
        <v>124076521.78677979</v>
      </c>
      <c r="N115" s="224"/>
      <c r="O115" s="126"/>
      <c r="P115" s="126"/>
      <c r="Q115" s="126"/>
      <c r="R115" s="126"/>
      <c r="S115" s="126"/>
      <c r="T115" s="126"/>
      <c r="U115" s="126"/>
      <c r="V115" s="126"/>
    </row>
    <row r="116" spans="2:22" ht="14.4" x14ac:dyDescent="0.3">
      <c r="B116" s="277"/>
      <c r="C116" s="318" t="s">
        <v>130</v>
      </c>
      <c r="D116" s="526"/>
      <c r="E116" s="262">
        <v>114</v>
      </c>
      <c r="F116" s="323" t="s">
        <v>57</v>
      </c>
      <c r="G116" s="319">
        <f t="shared" si="2"/>
        <v>12812249.532330522</v>
      </c>
      <c r="H116" s="392">
        <f t="shared" si="3"/>
        <v>153746994.38796628</v>
      </c>
      <c r="N116" s="224"/>
      <c r="O116" s="126"/>
      <c r="P116" s="126"/>
      <c r="Q116" s="126"/>
      <c r="R116" s="126"/>
      <c r="S116" s="126"/>
      <c r="T116" s="126"/>
      <c r="U116" s="126"/>
      <c r="V116" s="126"/>
    </row>
    <row r="117" spans="2:22" ht="14.4" x14ac:dyDescent="0.3">
      <c r="B117" s="277"/>
      <c r="C117" s="318" t="s">
        <v>96</v>
      </c>
      <c r="D117" s="527"/>
      <c r="E117" s="262">
        <v>122</v>
      </c>
      <c r="F117" s="323" t="s">
        <v>57</v>
      </c>
      <c r="G117" s="319">
        <f t="shared" si="2"/>
        <v>13711354.762669507</v>
      </c>
      <c r="H117" s="392">
        <f t="shared" si="3"/>
        <v>164536257.1520341</v>
      </c>
      <c r="J117" s="127"/>
      <c r="K117" s="403"/>
      <c r="N117" s="224"/>
      <c r="O117" s="126"/>
      <c r="P117" s="126"/>
      <c r="Q117" s="126"/>
      <c r="R117" s="126"/>
      <c r="S117" s="126"/>
      <c r="T117" s="126"/>
      <c r="U117" s="126"/>
      <c r="V117" s="126"/>
    </row>
    <row r="118" spans="2:22" ht="14.4" x14ac:dyDescent="0.3">
      <c r="B118" s="245"/>
      <c r="C118" s="484" t="s">
        <v>126</v>
      </c>
      <c r="D118" s="484"/>
      <c r="E118" s="484"/>
      <c r="F118" s="484"/>
      <c r="G118" s="264">
        <f>SUM(G109:G117)</f>
        <v>119356219.32750013</v>
      </c>
      <c r="H118" s="393">
        <f>SUM(H109:H115)</f>
        <v>1113991380.3900013</v>
      </c>
      <c r="J118" s="402"/>
      <c r="N118" s="224"/>
      <c r="O118" s="126"/>
      <c r="P118" s="126"/>
      <c r="Q118" s="126"/>
      <c r="R118" s="102">
        <v>119356219.3275</v>
      </c>
      <c r="S118" s="467">
        <f>R118/1062</f>
        <v>112388.15379237288</v>
      </c>
      <c r="T118" s="467">
        <v>112388.15379237301</v>
      </c>
      <c r="U118" s="126"/>
      <c r="V118" s="126"/>
    </row>
    <row r="119" spans="2:22" ht="14.4" x14ac:dyDescent="0.3">
      <c r="B119" s="234">
        <v>3</v>
      </c>
      <c r="C119" s="278" t="str">
        <f>C13</f>
        <v>IPAL</v>
      </c>
      <c r="D119" s="278"/>
      <c r="E119" s="279"/>
      <c r="F119" s="280"/>
      <c r="G119" s="281"/>
      <c r="H119" s="282"/>
      <c r="N119" s="224"/>
      <c r="O119" s="126"/>
      <c r="P119" s="126"/>
      <c r="Q119" s="126"/>
      <c r="R119" s="126"/>
      <c r="S119" s="126"/>
      <c r="T119" s="126"/>
      <c r="U119" s="126"/>
      <c r="V119" s="126"/>
    </row>
    <row r="120" spans="2:22" ht="14.4" x14ac:dyDescent="0.3">
      <c r="B120" s="276"/>
      <c r="C120" s="318" t="s">
        <v>55</v>
      </c>
      <c r="D120" s="528" t="s">
        <v>131</v>
      </c>
      <c r="E120" s="530">
        <v>1</v>
      </c>
      <c r="F120" s="530" t="s">
        <v>93</v>
      </c>
      <c r="G120" s="475">
        <f>E13</f>
        <v>88902242.857142881</v>
      </c>
      <c r="H120" s="478">
        <f>G120*12</f>
        <v>1066826914.2857146</v>
      </c>
      <c r="N120" s="224"/>
      <c r="O120" s="126"/>
      <c r="P120" s="126"/>
      <c r="Q120" s="126"/>
      <c r="R120" s="126"/>
      <c r="S120" s="126"/>
      <c r="T120" s="126"/>
      <c r="U120" s="126"/>
      <c r="V120" s="126"/>
    </row>
    <row r="121" spans="2:22" ht="14.4" x14ac:dyDescent="0.3">
      <c r="B121" s="277"/>
      <c r="C121" s="318" t="s">
        <v>59</v>
      </c>
      <c r="D121" s="524"/>
      <c r="E121" s="476"/>
      <c r="F121" s="476"/>
      <c r="G121" s="476"/>
      <c r="H121" s="479"/>
      <c r="N121" s="224"/>
      <c r="O121" s="126"/>
      <c r="P121" s="126"/>
      <c r="Q121" s="126"/>
      <c r="R121" s="126"/>
      <c r="S121" s="126"/>
      <c r="T121" s="126"/>
      <c r="U121" s="126"/>
      <c r="V121" s="126"/>
    </row>
    <row r="122" spans="2:22" ht="14.4" x14ac:dyDescent="0.3">
      <c r="B122" s="277"/>
      <c r="C122" s="318" t="s">
        <v>127</v>
      </c>
      <c r="D122" s="524"/>
      <c r="E122" s="476"/>
      <c r="F122" s="476"/>
      <c r="G122" s="476"/>
      <c r="H122" s="479"/>
      <c r="N122" s="224"/>
      <c r="O122" s="126"/>
      <c r="P122" s="126"/>
      <c r="Q122" s="126"/>
      <c r="R122" s="126"/>
      <c r="S122" s="126"/>
      <c r="T122" s="126"/>
      <c r="U122" s="126"/>
      <c r="V122" s="126"/>
    </row>
    <row r="123" spans="2:22" ht="14.4" x14ac:dyDescent="0.3">
      <c r="B123" s="277"/>
      <c r="C123" s="318" t="s">
        <v>61</v>
      </c>
      <c r="D123" s="524"/>
      <c r="E123" s="476"/>
      <c r="F123" s="476"/>
      <c r="G123" s="476"/>
      <c r="H123" s="479"/>
      <c r="N123" s="224"/>
      <c r="O123" s="126"/>
      <c r="P123" s="126"/>
      <c r="Q123" s="126"/>
      <c r="R123" s="126"/>
      <c r="S123" s="126"/>
      <c r="T123" s="126"/>
      <c r="U123" s="126"/>
      <c r="V123" s="126"/>
    </row>
    <row r="124" spans="2:22" ht="14.4" x14ac:dyDescent="0.3">
      <c r="B124" s="277"/>
      <c r="C124" s="318" t="s">
        <v>132</v>
      </c>
      <c r="D124" s="524"/>
      <c r="E124" s="476"/>
      <c r="F124" s="476"/>
      <c r="G124" s="476"/>
      <c r="H124" s="479"/>
      <c r="N124" s="224"/>
      <c r="O124" s="126"/>
      <c r="P124" s="126"/>
      <c r="Q124" s="126"/>
      <c r="R124" s="126"/>
      <c r="S124" s="126"/>
      <c r="T124" s="126"/>
      <c r="U124" s="126"/>
      <c r="V124" s="126"/>
    </row>
    <row r="125" spans="2:22" ht="14.4" x14ac:dyDescent="0.3">
      <c r="B125" s="277"/>
      <c r="C125" s="318" t="s">
        <v>133</v>
      </c>
      <c r="D125" s="524"/>
      <c r="E125" s="476"/>
      <c r="F125" s="476"/>
      <c r="G125" s="476"/>
      <c r="H125" s="479"/>
      <c r="N125" s="224"/>
      <c r="O125" s="126"/>
      <c r="P125" s="126"/>
      <c r="Q125" s="126"/>
      <c r="R125" s="126"/>
      <c r="S125" s="126"/>
      <c r="T125" s="126"/>
      <c r="U125" s="126"/>
      <c r="V125" s="126"/>
    </row>
    <row r="126" spans="2:22" ht="14.4" x14ac:dyDescent="0.3">
      <c r="B126" s="277"/>
      <c r="C126" s="318" t="s">
        <v>134</v>
      </c>
      <c r="D126" s="524"/>
      <c r="E126" s="476"/>
      <c r="F126" s="476"/>
      <c r="G126" s="476"/>
      <c r="H126" s="479"/>
      <c r="N126" s="224"/>
      <c r="O126" s="126"/>
      <c r="P126" s="126"/>
      <c r="Q126" s="126"/>
      <c r="R126" s="126"/>
      <c r="S126" s="126"/>
      <c r="T126" s="126"/>
      <c r="U126" s="126"/>
      <c r="V126" s="126"/>
    </row>
    <row r="127" spans="2:22" ht="14.4" x14ac:dyDescent="0.3">
      <c r="B127" s="277"/>
      <c r="C127" s="318" t="s">
        <v>135</v>
      </c>
      <c r="D127" s="524"/>
      <c r="E127" s="476"/>
      <c r="F127" s="476"/>
      <c r="G127" s="476"/>
      <c r="H127" s="479"/>
      <c r="N127" s="224"/>
      <c r="O127" s="126"/>
      <c r="P127" s="126"/>
      <c r="Q127" s="126"/>
      <c r="R127" s="126"/>
      <c r="S127" s="126"/>
      <c r="T127" s="126"/>
      <c r="U127" s="126"/>
      <c r="V127" s="126"/>
    </row>
    <row r="128" spans="2:22" ht="14.4" x14ac:dyDescent="0.3">
      <c r="B128" s="277"/>
      <c r="C128" s="318" t="s">
        <v>136</v>
      </c>
      <c r="D128" s="524"/>
      <c r="E128" s="476"/>
      <c r="F128" s="476"/>
      <c r="G128" s="476"/>
      <c r="H128" s="479"/>
      <c r="N128" s="224"/>
      <c r="O128" s="126"/>
      <c r="P128" s="126"/>
      <c r="Q128" s="126"/>
      <c r="R128" s="126"/>
      <c r="S128" s="126"/>
      <c r="T128" s="126"/>
      <c r="U128" s="126"/>
      <c r="V128" s="126"/>
    </row>
    <row r="129" spans="2:22" ht="14.4" x14ac:dyDescent="0.3">
      <c r="B129" s="277"/>
      <c r="C129" s="318" t="s">
        <v>96</v>
      </c>
      <c r="D129" s="529"/>
      <c r="E129" s="477"/>
      <c r="F129" s="477"/>
      <c r="G129" s="477"/>
      <c r="H129" s="480"/>
      <c r="N129" s="224"/>
      <c r="O129" s="126"/>
      <c r="P129" s="126"/>
      <c r="Q129" s="126"/>
      <c r="R129" s="126"/>
      <c r="S129" s="126"/>
      <c r="T129" s="126"/>
      <c r="U129" s="126"/>
      <c r="V129" s="126"/>
    </row>
    <row r="130" spans="2:22" ht="14.4" x14ac:dyDescent="0.3">
      <c r="B130" s="245"/>
      <c r="C130" s="484" t="s">
        <v>126</v>
      </c>
      <c r="D130" s="484"/>
      <c r="E130" s="484"/>
      <c r="F130" s="484"/>
      <c r="G130" s="264">
        <f>SUM(G120:G121)</f>
        <v>88902242.857142881</v>
      </c>
      <c r="H130" s="393">
        <f>SUM(H120:H121)</f>
        <v>1066826914.2857146</v>
      </c>
      <c r="N130" s="224"/>
      <c r="O130" s="126"/>
      <c r="P130" s="126"/>
      <c r="Q130" s="126"/>
      <c r="R130" s="126"/>
      <c r="S130" s="126"/>
      <c r="T130" s="126"/>
      <c r="U130" s="126"/>
      <c r="V130" s="126"/>
    </row>
    <row r="131" spans="2:22" ht="14.4" x14ac:dyDescent="0.3">
      <c r="B131" s="234">
        <v>4</v>
      </c>
      <c r="C131" s="253" t="str">
        <f>C14</f>
        <v>ME &amp; CIVIL PPI CAKUNG</v>
      </c>
      <c r="D131" s="253"/>
      <c r="E131" s="254"/>
      <c r="F131" s="255"/>
      <c r="G131" s="251"/>
      <c r="H131" s="252"/>
      <c r="N131" s="224"/>
      <c r="O131" s="126"/>
      <c r="P131" s="126"/>
      <c r="Q131" s="126"/>
      <c r="R131" s="126"/>
      <c r="S131" s="126"/>
      <c r="T131" s="126"/>
      <c r="U131" s="126"/>
      <c r="V131" s="126"/>
    </row>
    <row r="132" spans="2:22" ht="14.4" x14ac:dyDescent="0.3">
      <c r="B132" s="276"/>
      <c r="C132" s="318" t="s">
        <v>137</v>
      </c>
      <c r="D132" s="350" t="s">
        <v>138</v>
      </c>
      <c r="E132" s="380">
        <v>1</v>
      </c>
      <c r="F132" s="263" t="s">
        <v>139</v>
      </c>
      <c r="G132" s="471">
        <f>E14</f>
        <v>103147861.11936666</v>
      </c>
      <c r="H132" s="473">
        <f>G132*12</f>
        <v>1237774333.4324</v>
      </c>
      <c r="N132" s="224"/>
      <c r="O132" s="126"/>
      <c r="P132" s="126"/>
      <c r="Q132" s="126"/>
      <c r="R132" s="126"/>
      <c r="S132" s="126"/>
      <c r="T132" s="126"/>
      <c r="U132" s="126"/>
      <c r="V132" s="126"/>
    </row>
    <row r="133" spans="2:22" ht="14.4" x14ac:dyDescent="0.3">
      <c r="B133" s="277"/>
      <c r="C133" s="318" t="s">
        <v>140</v>
      </c>
      <c r="D133" s="350" t="s">
        <v>138</v>
      </c>
      <c r="E133" s="380">
        <v>1</v>
      </c>
      <c r="F133" s="263" t="s">
        <v>139</v>
      </c>
      <c r="G133" s="472"/>
      <c r="H133" s="474"/>
      <c r="N133" s="224"/>
      <c r="O133" s="126"/>
      <c r="P133" s="126"/>
      <c r="Q133" s="126"/>
      <c r="R133" s="126"/>
      <c r="S133" s="126"/>
      <c r="T133" s="126"/>
      <c r="U133" s="126"/>
      <c r="V133" s="126"/>
    </row>
    <row r="134" spans="2:22" ht="14.4" x14ac:dyDescent="0.3">
      <c r="B134" s="245"/>
      <c r="C134" s="486" t="s">
        <v>126</v>
      </c>
      <c r="D134" s="486"/>
      <c r="E134" s="486"/>
      <c r="F134" s="486"/>
      <c r="G134" s="246">
        <f>SUM(G132:G133)</f>
        <v>103147861.11936666</v>
      </c>
      <c r="H134" s="247">
        <f>SUM(H132:H133)</f>
        <v>1237774333.4324</v>
      </c>
      <c r="N134" s="224"/>
      <c r="O134" s="126"/>
      <c r="P134" s="126"/>
      <c r="Q134" s="126"/>
      <c r="R134" s="126"/>
      <c r="S134" s="126"/>
      <c r="T134" s="126"/>
      <c r="U134" s="126"/>
      <c r="V134" s="126"/>
    </row>
    <row r="135" spans="2:22" ht="14.4" x14ac:dyDescent="0.3">
      <c r="B135" s="234">
        <v>5</v>
      </c>
      <c r="C135" s="248" t="str">
        <f>C15</f>
        <v>CIVIL REPAIR MAINTENANCE</v>
      </c>
      <c r="D135" s="248"/>
      <c r="E135" s="249"/>
      <c r="F135" s="250"/>
      <c r="G135" s="256"/>
      <c r="H135" s="257"/>
      <c r="N135" s="224"/>
      <c r="O135" s="126"/>
      <c r="P135" s="126"/>
      <c r="Q135" s="126"/>
      <c r="R135" s="126"/>
      <c r="S135" s="126"/>
      <c r="T135" s="126"/>
      <c r="U135" s="126"/>
      <c r="V135" s="126"/>
    </row>
    <row r="136" spans="2:22" ht="14.4" x14ac:dyDescent="0.3">
      <c r="B136" s="276"/>
      <c r="C136" s="320" t="s">
        <v>141</v>
      </c>
      <c r="D136" s="350" t="s">
        <v>138</v>
      </c>
      <c r="E136" s="351">
        <v>1</v>
      </c>
      <c r="F136" s="387" t="s">
        <v>139</v>
      </c>
      <c r="G136" s="322">
        <f>E15</f>
        <v>100000000</v>
      </c>
      <c r="H136" s="394">
        <f>G136*12</f>
        <v>1200000000</v>
      </c>
      <c r="N136" s="224"/>
      <c r="O136" s="126"/>
      <c r="P136" s="126"/>
      <c r="Q136" s="126"/>
      <c r="R136" s="126"/>
      <c r="S136" s="126"/>
      <c r="T136" s="126"/>
      <c r="U136" s="126"/>
      <c r="V136" s="126"/>
    </row>
    <row r="137" spans="2:22" ht="14.4" x14ac:dyDescent="0.3">
      <c r="B137" s="395"/>
      <c r="C137" s="521" t="s">
        <v>126</v>
      </c>
      <c r="D137" s="521"/>
      <c r="E137" s="521"/>
      <c r="F137" s="521"/>
      <c r="G137" s="349">
        <f>G136</f>
        <v>100000000</v>
      </c>
      <c r="H137" s="396">
        <f>H136</f>
        <v>1200000000</v>
      </c>
      <c r="N137" s="224"/>
      <c r="O137" s="126"/>
      <c r="P137" s="126"/>
      <c r="Q137" s="126"/>
      <c r="R137" s="126"/>
      <c r="S137" s="126"/>
      <c r="T137" s="126"/>
      <c r="U137" s="126"/>
      <c r="V137" s="126"/>
    </row>
    <row r="138" spans="2:22" ht="14.4" x14ac:dyDescent="0.3">
      <c r="B138" s="397"/>
      <c r="C138" s="522" t="s">
        <v>142</v>
      </c>
      <c r="D138" s="522"/>
      <c r="E138" s="522"/>
      <c r="F138" s="522"/>
      <c r="G138" s="381">
        <f>G137+G134+G130+G118+G107</f>
        <v>534892861.90817636</v>
      </c>
      <c r="H138" s="398">
        <f>H137+H134+H130+H118+H107</f>
        <v>6100431091.3581161</v>
      </c>
      <c r="J138" s="102"/>
      <c r="K138" s="402"/>
      <c r="N138" s="224"/>
      <c r="O138" s="126"/>
      <c r="P138" s="126"/>
      <c r="Q138" s="126"/>
      <c r="R138" s="126"/>
      <c r="S138" s="126"/>
      <c r="T138" s="126"/>
      <c r="U138" s="126"/>
      <c r="V138" s="126"/>
    </row>
    <row r="139" spans="2:22" ht="14.4" x14ac:dyDescent="0.3">
      <c r="B139" s="77"/>
      <c r="C139" s="75"/>
      <c r="D139" s="75"/>
      <c r="E139" s="76"/>
      <c r="F139" s="38"/>
      <c r="G139" s="99"/>
      <c r="H139" s="231"/>
      <c r="N139" s="224"/>
      <c r="O139" s="126"/>
      <c r="P139" s="126"/>
      <c r="Q139" s="126"/>
      <c r="R139" s="126"/>
      <c r="S139" s="126"/>
      <c r="T139" s="126"/>
      <c r="U139" s="126"/>
      <c r="V139" s="126"/>
    </row>
    <row r="140" spans="2:22" ht="14.4" x14ac:dyDescent="0.3">
      <c r="B140" s="15"/>
      <c r="C140" s="86"/>
      <c r="D140" s="86"/>
      <c r="E140" s="87"/>
      <c r="F140" s="86"/>
      <c r="G140" s="99"/>
      <c r="H140" s="99"/>
    </row>
    <row r="141" spans="2:22" x14ac:dyDescent="0.35">
      <c r="B141" s="88" t="s">
        <v>18</v>
      </c>
      <c r="C141" s="88"/>
      <c r="D141" s="88"/>
      <c r="E141" s="88"/>
      <c r="F141" s="101" t="s">
        <v>143</v>
      </c>
    </row>
    <row r="142" spans="2:22" ht="14.4" x14ac:dyDescent="0.3">
      <c r="B142" s="89" t="s">
        <v>19</v>
      </c>
      <c r="C142" s="89"/>
      <c r="D142" s="89"/>
      <c r="E142" s="89"/>
      <c r="F142" s="103" t="str">
        <f>'Covering Letter '!B10</f>
        <v>PT United Tractors Tbk</v>
      </c>
    </row>
    <row r="143" spans="2:22" x14ac:dyDescent="0.35">
      <c r="B143" s="90"/>
      <c r="C143" s="91"/>
      <c r="D143" s="91"/>
      <c r="E143" s="88"/>
      <c r="F143" s="99"/>
      <c r="H143" s="104"/>
    </row>
    <row r="144" spans="2:22" x14ac:dyDescent="0.35">
      <c r="B144" s="90"/>
      <c r="C144" s="91"/>
      <c r="D144" s="91"/>
      <c r="E144" s="88"/>
      <c r="F144" s="102"/>
      <c r="H144" s="104"/>
    </row>
    <row r="145" spans="2:8" x14ac:dyDescent="0.35">
      <c r="B145" s="90"/>
      <c r="C145" s="91"/>
      <c r="D145" s="91"/>
      <c r="E145" s="88"/>
      <c r="F145" s="102"/>
      <c r="H145" s="104"/>
    </row>
    <row r="146" spans="2:8" x14ac:dyDescent="0.35">
      <c r="B146" s="90"/>
      <c r="C146" s="91"/>
      <c r="D146" s="91"/>
      <c r="E146" s="88"/>
      <c r="F146" s="102"/>
      <c r="H146" s="105"/>
    </row>
    <row r="147" spans="2:8" x14ac:dyDescent="0.35">
      <c r="B147" s="90"/>
      <c r="C147" s="91"/>
      <c r="D147" s="91"/>
      <c r="E147" s="90"/>
      <c r="F147" s="102"/>
      <c r="H147" s="104"/>
    </row>
    <row r="148" spans="2:8" x14ac:dyDescent="0.35">
      <c r="B148" s="92" t="str">
        <f>'Covering Letter '!B48</f>
        <v>Sandy Yudha S</v>
      </c>
      <c r="C148" s="92"/>
      <c r="D148" s="92"/>
      <c r="E148" s="92"/>
      <c r="F148" s="106" t="str">
        <f>RIGHT('Covering Letter '!D15,18)</f>
        <v>Sara Kirsti Loebis</v>
      </c>
      <c r="H148" s="107"/>
    </row>
    <row r="149" spans="2:8" x14ac:dyDescent="0.35">
      <c r="B149" s="93" t="str">
        <f>'Covering Letter '!B49</f>
        <v>Strategic Business &amp; Sales Division Head</v>
      </c>
      <c r="C149" s="93"/>
      <c r="D149" s="93"/>
      <c r="E149" s="93"/>
      <c r="F149" s="108" t="str">
        <f>'Covering Letter '!D16</f>
        <v>Corporate Governance &amp; Sustainability Division Head</v>
      </c>
      <c r="H149" s="109"/>
    </row>
    <row r="150" spans="2:8" ht="14.4" x14ac:dyDescent="0.3"/>
    <row r="151" spans="2:8" ht="14.4" x14ac:dyDescent="0.3"/>
    <row r="152" spans="2:8" ht="14.4" x14ac:dyDescent="0.3"/>
    <row r="153" spans="2:8" ht="14.4" x14ac:dyDescent="0.3"/>
    <row r="154" spans="2:8" ht="14.4" x14ac:dyDescent="0.3"/>
    <row r="155" spans="2:8" ht="14.4" x14ac:dyDescent="0.3"/>
    <row r="156" spans="2:8" ht="14.4" x14ac:dyDescent="0.3"/>
    <row r="157" spans="2:8" ht="14.4" x14ac:dyDescent="0.3"/>
    <row r="158" spans="2:8" ht="14.4" x14ac:dyDescent="0.3"/>
    <row r="159" spans="2:8" ht="14.4" x14ac:dyDescent="0.3"/>
    <row r="160" spans="2:8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</sheetData>
  <mergeCells count="52">
    <mergeCell ref="R10:S10"/>
    <mergeCell ref="R16:S16"/>
    <mergeCell ref="L26:L28"/>
    <mergeCell ref="N26:N28"/>
    <mergeCell ref="O26:O28"/>
    <mergeCell ref="C137:F137"/>
    <mergeCell ref="C138:F138"/>
    <mergeCell ref="D100:D102"/>
    <mergeCell ref="D104:D105"/>
    <mergeCell ref="D87:D91"/>
    <mergeCell ref="D96:D97"/>
    <mergeCell ref="D109:D117"/>
    <mergeCell ref="D120:D129"/>
    <mergeCell ref="E120:E129"/>
    <mergeCell ref="F120:F129"/>
    <mergeCell ref="C134:F134"/>
    <mergeCell ref="D76:D85"/>
    <mergeCell ref="D72:D74"/>
    <mergeCell ref="E17:H17"/>
    <mergeCell ref="E18:H18"/>
    <mergeCell ref="D54:D57"/>
    <mergeCell ref="E72:E74"/>
    <mergeCell ref="F72:F74"/>
    <mergeCell ref="D59:D60"/>
    <mergeCell ref="D62:D63"/>
    <mergeCell ref="B17:C17"/>
    <mergeCell ref="B7:H7"/>
    <mergeCell ref="E8:H8"/>
    <mergeCell ref="E9:H9"/>
    <mergeCell ref="B16:C16"/>
    <mergeCell ref="E12:H12"/>
    <mergeCell ref="E11:H11"/>
    <mergeCell ref="E13:H13"/>
    <mergeCell ref="E14:H14"/>
    <mergeCell ref="E15:H15"/>
    <mergeCell ref="E16:H16"/>
    <mergeCell ref="B18:C18"/>
    <mergeCell ref="G132:G133"/>
    <mergeCell ref="H132:H133"/>
    <mergeCell ref="G120:G129"/>
    <mergeCell ref="H120:H129"/>
    <mergeCell ref="B19:C19"/>
    <mergeCell ref="E19:H19"/>
    <mergeCell ref="C118:F118"/>
    <mergeCell ref="C130:F130"/>
    <mergeCell ref="B21:H21"/>
    <mergeCell ref="C107:F107"/>
    <mergeCell ref="D25:D33"/>
    <mergeCell ref="D35:D39"/>
    <mergeCell ref="D41:D45"/>
    <mergeCell ref="D47:D52"/>
    <mergeCell ref="D65:D6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9" fitToWidth="0" fitToHeight="0" orientation="portrait" r:id="rId1"/>
  <rowBreaks count="2" manualBreakCount="2">
    <brk id="66" min="1" max="7" man="1"/>
    <brk id="130" min="1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B824-E00E-4F8B-BA9B-4C2171C7D7B9}">
  <sheetPr>
    <pageSetUpPr fitToPage="1"/>
  </sheetPr>
  <dimension ref="B5:U71"/>
  <sheetViews>
    <sheetView showGridLines="0" topLeftCell="C8" zoomScale="80" zoomScaleNormal="80" workbookViewId="0">
      <selection activeCell="Q26" sqref="Q26"/>
    </sheetView>
  </sheetViews>
  <sheetFormatPr defaultColWidth="9.21875" defaultRowHeight="14.4" x14ac:dyDescent="0.3"/>
  <cols>
    <col min="1" max="1" width="9.21875" style="2"/>
    <col min="2" max="2" width="6.77734375" style="2" customWidth="1"/>
    <col min="3" max="3" width="24.77734375" style="2" customWidth="1"/>
    <col min="4" max="4" width="10.77734375" style="2" customWidth="1"/>
    <col min="5" max="5" width="8.21875" style="2" customWidth="1"/>
    <col min="6" max="8" width="14.77734375" style="2" customWidth="1"/>
    <col min="9" max="9" width="17" style="2" bestFit="1" customWidth="1"/>
    <col min="10" max="15" width="14.77734375" style="2" customWidth="1"/>
    <col min="16" max="16" width="54" style="2" customWidth="1"/>
    <col min="17" max="17" width="16.44140625" style="2" bestFit="1" customWidth="1"/>
    <col min="18" max="18" width="16.44140625" style="2" customWidth="1"/>
    <col min="19" max="19" width="14.77734375" style="2" bestFit="1" customWidth="1"/>
    <col min="20" max="20" width="12.21875" style="2" bestFit="1" customWidth="1"/>
    <col min="21" max="21" width="10.77734375" style="2" bestFit="1" customWidth="1"/>
    <col min="22" max="265" width="9.21875" style="2"/>
    <col min="266" max="266" width="3.77734375" style="2" customWidth="1"/>
    <col min="267" max="267" width="6.77734375" style="2" customWidth="1"/>
    <col min="268" max="268" width="17.77734375" style="2" customWidth="1"/>
    <col min="269" max="269" width="4.77734375" style="2" customWidth="1"/>
    <col min="270" max="270" width="8.77734375" style="2" customWidth="1"/>
    <col min="271" max="271" width="22.21875" style="2" customWidth="1"/>
    <col min="272" max="272" width="45.5546875" style="2" customWidth="1"/>
    <col min="273" max="273" width="4.77734375" style="2" customWidth="1"/>
    <col min="274" max="274" width="46.5546875" style="2" bestFit="1" customWidth="1"/>
    <col min="275" max="275" width="13.77734375" style="2" bestFit="1" customWidth="1"/>
    <col min="276" max="277" width="10.77734375" style="2" bestFit="1" customWidth="1"/>
    <col min="278" max="521" width="9.21875" style="2"/>
    <col min="522" max="522" width="3.77734375" style="2" customWidth="1"/>
    <col min="523" max="523" width="6.77734375" style="2" customWidth="1"/>
    <col min="524" max="524" width="17.77734375" style="2" customWidth="1"/>
    <col min="525" max="525" width="4.77734375" style="2" customWidth="1"/>
    <col min="526" max="526" width="8.77734375" style="2" customWidth="1"/>
    <col min="527" max="527" width="22.21875" style="2" customWidth="1"/>
    <col min="528" max="528" width="45.5546875" style="2" customWidth="1"/>
    <col min="529" max="529" width="4.77734375" style="2" customWidth="1"/>
    <col min="530" max="530" width="46.5546875" style="2" bestFit="1" customWidth="1"/>
    <col min="531" max="531" width="13.77734375" style="2" bestFit="1" customWidth="1"/>
    <col min="532" max="533" width="10.77734375" style="2" bestFit="1" customWidth="1"/>
    <col min="534" max="777" width="9.21875" style="2"/>
    <col min="778" max="778" width="3.77734375" style="2" customWidth="1"/>
    <col min="779" max="779" width="6.77734375" style="2" customWidth="1"/>
    <col min="780" max="780" width="17.77734375" style="2" customWidth="1"/>
    <col min="781" max="781" width="4.77734375" style="2" customWidth="1"/>
    <col min="782" max="782" width="8.77734375" style="2" customWidth="1"/>
    <col min="783" max="783" width="22.21875" style="2" customWidth="1"/>
    <col min="784" max="784" width="45.5546875" style="2" customWidth="1"/>
    <col min="785" max="785" width="4.77734375" style="2" customWidth="1"/>
    <col min="786" max="786" width="46.5546875" style="2" bestFit="1" customWidth="1"/>
    <col min="787" max="787" width="13.77734375" style="2" bestFit="1" customWidth="1"/>
    <col min="788" max="789" width="10.77734375" style="2" bestFit="1" customWidth="1"/>
    <col min="790" max="1033" width="9.21875" style="2"/>
    <col min="1034" max="1034" width="3.77734375" style="2" customWidth="1"/>
    <col min="1035" max="1035" width="6.77734375" style="2" customWidth="1"/>
    <col min="1036" max="1036" width="17.77734375" style="2" customWidth="1"/>
    <col min="1037" max="1037" width="4.77734375" style="2" customWidth="1"/>
    <col min="1038" max="1038" width="8.77734375" style="2" customWidth="1"/>
    <col min="1039" max="1039" width="22.21875" style="2" customWidth="1"/>
    <col min="1040" max="1040" width="45.5546875" style="2" customWidth="1"/>
    <col min="1041" max="1041" width="4.77734375" style="2" customWidth="1"/>
    <col min="1042" max="1042" width="46.5546875" style="2" bestFit="1" customWidth="1"/>
    <col min="1043" max="1043" width="13.77734375" style="2" bestFit="1" customWidth="1"/>
    <col min="1044" max="1045" width="10.77734375" style="2" bestFit="1" customWidth="1"/>
    <col min="1046" max="1289" width="9.21875" style="2"/>
    <col min="1290" max="1290" width="3.77734375" style="2" customWidth="1"/>
    <col min="1291" max="1291" width="6.77734375" style="2" customWidth="1"/>
    <col min="1292" max="1292" width="17.77734375" style="2" customWidth="1"/>
    <col min="1293" max="1293" width="4.77734375" style="2" customWidth="1"/>
    <col min="1294" max="1294" width="8.77734375" style="2" customWidth="1"/>
    <col min="1295" max="1295" width="22.21875" style="2" customWidth="1"/>
    <col min="1296" max="1296" width="45.5546875" style="2" customWidth="1"/>
    <col min="1297" max="1297" width="4.77734375" style="2" customWidth="1"/>
    <col min="1298" max="1298" width="46.5546875" style="2" bestFit="1" customWidth="1"/>
    <col min="1299" max="1299" width="13.77734375" style="2" bestFit="1" customWidth="1"/>
    <col min="1300" max="1301" width="10.77734375" style="2" bestFit="1" customWidth="1"/>
    <col min="1302" max="1545" width="9.21875" style="2"/>
    <col min="1546" max="1546" width="3.77734375" style="2" customWidth="1"/>
    <col min="1547" max="1547" width="6.77734375" style="2" customWidth="1"/>
    <col min="1548" max="1548" width="17.77734375" style="2" customWidth="1"/>
    <col min="1549" max="1549" width="4.77734375" style="2" customWidth="1"/>
    <col min="1550" max="1550" width="8.77734375" style="2" customWidth="1"/>
    <col min="1551" max="1551" width="22.21875" style="2" customWidth="1"/>
    <col min="1552" max="1552" width="45.5546875" style="2" customWidth="1"/>
    <col min="1553" max="1553" width="4.77734375" style="2" customWidth="1"/>
    <col min="1554" max="1554" width="46.5546875" style="2" bestFit="1" customWidth="1"/>
    <col min="1555" max="1555" width="13.77734375" style="2" bestFit="1" customWidth="1"/>
    <col min="1556" max="1557" width="10.77734375" style="2" bestFit="1" customWidth="1"/>
    <col min="1558" max="1801" width="9.21875" style="2"/>
    <col min="1802" max="1802" width="3.77734375" style="2" customWidth="1"/>
    <col min="1803" max="1803" width="6.77734375" style="2" customWidth="1"/>
    <col min="1804" max="1804" width="17.77734375" style="2" customWidth="1"/>
    <col min="1805" max="1805" width="4.77734375" style="2" customWidth="1"/>
    <col min="1806" max="1806" width="8.77734375" style="2" customWidth="1"/>
    <col min="1807" max="1807" width="22.21875" style="2" customWidth="1"/>
    <col min="1808" max="1808" width="45.5546875" style="2" customWidth="1"/>
    <col min="1809" max="1809" width="4.77734375" style="2" customWidth="1"/>
    <col min="1810" max="1810" width="46.5546875" style="2" bestFit="1" customWidth="1"/>
    <col min="1811" max="1811" width="13.77734375" style="2" bestFit="1" customWidth="1"/>
    <col min="1812" max="1813" width="10.77734375" style="2" bestFit="1" customWidth="1"/>
    <col min="1814" max="2057" width="9.21875" style="2"/>
    <col min="2058" max="2058" width="3.77734375" style="2" customWidth="1"/>
    <col min="2059" max="2059" width="6.77734375" style="2" customWidth="1"/>
    <col min="2060" max="2060" width="17.77734375" style="2" customWidth="1"/>
    <col min="2061" max="2061" width="4.77734375" style="2" customWidth="1"/>
    <col min="2062" max="2062" width="8.77734375" style="2" customWidth="1"/>
    <col min="2063" max="2063" width="22.21875" style="2" customWidth="1"/>
    <col min="2064" max="2064" width="45.5546875" style="2" customWidth="1"/>
    <col min="2065" max="2065" width="4.77734375" style="2" customWidth="1"/>
    <col min="2066" max="2066" width="46.5546875" style="2" bestFit="1" customWidth="1"/>
    <col min="2067" max="2067" width="13.77734375" style="2" bestFit="1" customWidth="1"/>
    <col min="2068" max="2069" width="10.77734375" style="2" bestFit="1" customWidth="1"/>
    <col min="2070" max="2313" width="9.21875" style="2"/>
    <col min="2314" max="2314" width="3.77734375" style="2" customWidth="1"/>
    <col min="2315" max="2315" width="6.77734375" style="2" customWidth="1"/>
    <col min="2316" max="2316" width="17.77734375" style="2" customWidth="1"/>
    <col min="2317" max="2317" width="4.77734375" style="2" customWidth="1"/>
    <col min="2318" max="2318" width="8.77734375" style="2" customWidth="1"/>
    <col min="2319" max="2319" width="22.21875" style="2" customWidth="1"/>
    <col min="2320" max="2320" width="45.5546875" style="2" customWidth="1"/>
    <col min="2321" max="2321" width="4.77734375" style="2" customWidth="1"/>
    <col min="2322" max="2322" width="46.5546875" style="2" bestFit="1" customWidth="1"/>
    <col min="2323" max="2323" width="13.77734375" style="2" bestFit="1" customWidth="1"/>
    <col min="2324" max="2325" width="10.77734375" style="2" bestFit="1" customWidth="1"/>
    <col min="2326" max="2569" width="9.21875" style="2"/>
    <col min="2570" max="2570" width="3.77734375" style="2" customWidth="1"/>
    <col min="2571" max="2571" width="6.77734375" style="2" customWidth="1"/>
    <col min="2572" max="2572" width="17.77734375" style="2" customWidth="1"/>
    <col min="2573" max="2573" width="4.77734375" style="2" customWidth="1"/>
    <col min="2574" max="2574" width="8.77734375" style="2" customWidth="1"/>
    <col min="2575" max="2575" width="22.21875" style="2" customWidth="1"/>
    <col min="2576" max="2576" width="45.5546875" style="2" customWidth="1"/>
    <col min="2577" max="2577" width="4.77734375" style="2" customWidth="1"/>
    <col min="2578" max="2578" width="46.5546875" style="2" bestFit="1" customWidth="1"/>
    <col min="2579" max="2579" width="13.77734375" style="2" bestFit="1" customWidth="1"/>
    <col min="2580" max="2581" width="10.77734375" style="2" bestFit="1" customWidth="1"/>
    <col min="2582" max="2825" width="9.21875" style="2"/>
    <col min="2826" max="2826" width="3.77734375" style="2" customWidth="1"/>
    <col min="2827" max="2827" width="6.77734375" style="2" customWidth="1"/>
    <col min="2828" max="2828" width="17.77734375" style="2" customWidth="1"/>
    <col min="2829" max="2829" width="4.77734375" style="2" customWidth="1"/>
    <col min="2830" max="2830" width="8.77734375" style="2" customWidth="1"/>
    <col min="2831" max="2831" width="22.21875" style="2" customWidth="1"/>
    <col min="2832" max="2832" width="45.5546875" style="2" customWidth="1"/>
    <col min="2833" max="2833" width="4.77734375" style="2" customWidth="1"/>
    <col min="2834" max="2834" width="46.5546875" style="2" bestFit="1" customWidth="1"/>
    <col min="2835" max="2835" width="13.77734375" style="2" bestFit="1" customWidth="1"/>
    <col min="2836" max="2837" width="10.77734375" style="2" bestFit="1" customWidth="1"/>
    <col min="2838" max="3081" width="9.21875" style="2"/>
    <col min="3082" max="3082" width="3.77734375" style="2" customWidth="1"/>
    <col min="3083" max="3083" width="6.77734375" style="2" customWidth="1"/>
    <col min="3084" max="3084" width="17.77734375" style="2" customWidth="1"/>
    <col min="3085" max="3085" width="4.77734375" style="2" customWidth="1"/>
    <col min="3086" max="3086" width="8.77734375" style="2" customWidth="1"/>
    <col min="3087" max="3087" width="22.21875" style="2" customWidth="1"/>
    <col min="3088" max="3088" width="45.5546875" style="2" customWidth="1"/>
    <col min="3089" max="3089" width="4.77734375" style="2" customWidth="1"/>
    <col min="3090" max="3090" width="46.5546875" style="2" bestFit="1" customWidth="1"/>
    <col min="3091" max="3091" width="13.77734375" style="2" bestFit="1" customWidth="1"/>
    <col min="3092" max="3093" width="10.77734375" style="2" bestFit="1" customWidth="1"/>
    <col min="3094" max="3337" width="9.21875" style="2"/>
    <col min="3338" max="3338" width="3.77734375" style="2" customWidth="1"/>
    <col min="3339" max="3339" width="6.77734375" style="2" customWidth="1"/>
    <col min="3340" max="3340" width="17.77734375" style="2" customWidth="1"/>
    <col min="3341" max="3341" width="4.77734375" style="2" customWidth="1"/>
    <col min="3342" max="3342" width="8.77734375" style="2" customWidth="1"/>
    <col min="3343" max="3343" width="22.21875" style="2" customWidth="1"/>
    <col min="3344" max="3344" width="45.5546875" style="2" customWidth="1"/>
    <col min="3345" max="3345" width="4.77734375" style="2" customWidth="1"/>
    <col min="3346" max="3346" width="46.5546875" style="2" bestFit="1" customWidth="1"/>
    <col min="3347" max="3347" width="13.77734375" style="2" bestFit="1" customWidth="1"/>
    <col min="3348" max="3349" width="10.77734375" style="2" bestFit="1" customWidth="1"/>
    <col min="3350" max="3593" width="9.21875" style="2"/>
    <col min="3594" max="3594" width="3.77734375" style="2" customWidth="1"/>
    <col min="3595" max="3595" width="6.77734375" style="2" customWidth="1"/>
    <col min="3596" max="3596" width="17.77734375" style="2" customWidth="1"/>
    <col min="3597" max="3597" width="4.77734375" style="2" customWidth="1"/>
    <col min="3598" max="3598" width="8.77734375" style="2" customWidth="1"/>
    <col min="3599" max="3599" width="22.21875" style="2" customWidth="1"/>
    <col min="3600" max="3600" width="45.5546875" style="2" customWidth="1"/>
    <col min="3601" max="3601" width="4.77734375" style="2" customWidth="1"/>
    <col min="3602" max="3602" width="46.5546875" style="2" bestFit="1" customWidth="1"/>
    <col min="3603" max="3603" width="13.77734375" style="2" bestFit="1" customWidth="1"/>
    <col min="3604" max="3605" width="10.77734375" style="2" bestFit="1" customWidth="1"/>
    <col min="3606" max="3849" width="9.21875" style="2"/>
    <col min="3850" max="3850" width="3.77734375" style="2" customWidth="1"/>
    <col min="3851" max="3851" width="6.77734375" style="2" customWidth="1"/>
    <col min="3852" max="3852" width="17.77734375" style="2" customWidth="1"/>
    <col min="3853" max="3853" width="4.77734375" style="2" customWidth="1"/>
    <col min="3854" max="3854" width="8.77734375" style="2" customWidth="1"/>
    <col min="3855" max="3855" width="22.21875" style="2" customWidth="1"/>
    <col min="3856" max="3856" width="45.5546875" style="2" customWidth="1"/>
    <col min="3857" max="3857" width="4.77734375" style="2" customWidth="1"/>
    <col min="3858" max="3858" width="46.5546875" style="2" bestFit="1" customWidth="1"/>
    <col min="3859" max="3859" width="13.77734375" style="2" bestFit="1" customWidth="1"/>
    <col min="3860" max="3861" width="10.77734375" style="2" bestFit="1" customWidth="1"/>
    <col min="3862" max="4105" width="9.21875" style="2"/>
    <col min="4106" max="4106" width="3.77734375" style="2" customWidth="1"/>
    <col min="4107" max="4107" width="6.77734375" style="2" customWidth="1"/>
    <col min="4108" max="4108" width="17.77734375" style="2" customWidth="1"/>
    <col min="4109" max="4109" width="4.77734375" style="2" customWidth="1"/>
    <col min="4110" max="4110" width="8.77734375" style="2" customWidth="1"/>
    <col min="4111" max="4111" width="22.21875" style="2" customWidth="1"/>
    <col min="4112" max="4112" width="45.5546875" style="2" customWidth="1"/>
    <col min="4113" max="4113" width="4.77734375" style="2" customWidth="1"/>
    <col min="4114" max="4114" width="46.5546875" style="2" bestFit="1" customWidth="1"/>
    <col min="4115" max="4115" width="13.77734375" style="2" bestFit="1" customWidth="1"/>
    <col min="4116" max="4117" width="10.77734375" style="2" bestFit="1" customWidth="1"/>
    <col min="4118" max="4361" width="9.21875" style="2"/>
    <col min="4362" max="4362" width="3.77734375" style="2" customWidth="1"/>
    <col min="4363" max="4363" width="6.77734375" style="2" customWidth="1"/>
    <col min="4364" max="4364" width="17.77734375" style="2" customWidth="1"/>
    <col min="4365" max="4365" width="4.77734375" style="2" customWidth="1"/>
    <col min="4366" max="4366" width="8.77734375" style="2" customWidth="1"/>
    <col min="4367" max="4367" width="22.21875" style="2" customWidth="1"/>
    <col min="4368" max="4368" width="45.5546875" style="2" customWidth="1"/>
    <col min="4369" max="4369" width="4.77734375" style="2" customWidth="1"/>
    <col min="4370" max="4370" width="46.5546875" style="2" bestFit="1" customWidth="1"/>
    <col min="4371" max="4371" width="13.77734375" style="2" bestFit="1" customWidth="1"/>
    <col min="4372" max="4373" width="10.77734375" style="2" bestFit="1" customWidth="1"/>
    <col min="4374" max="4617" width="9.21875" style="2"/>
    <col min="4618" max="4618" width="3.77734375" style="2" customWidth="1"/>
    <col min="4619" max="4619" width="6.77734375" style="2" customWidth="1"/>
    <col min="4620" max="4620" width="17.77734375" style="2" customWidth="1"/>
    <col min="4621" max="4621" width="4.77734375" style="2" customWidth="1"/>
    <col min="4622" max="4622" width="8.77734375" style="2" customWidth="1"/>
    <col min="4623" max="4623" width="22.21875" style="2" customWidth="1"/>
    <col min="4624" max="4624" width="45.5546875" style="2" customWidth="1"/>
    <col min="4625" max="4625" width="4.77734375" style="2" customWidth="1"/>
    <col min="4626" max="4626" width="46.5546875" style="2" bestFit="1" customWidth="1"/>
    <col min="4627" max="4627" width="13.77734375" style="2" bestFit="1" customWidth="1"/>
    <col min="4628" max="4629" width="10.77734375" style="2" bestFit="1" customWidth="1"/>
    <col min="4630" max="4873" width="9.21875" style="2"/>
    <col min="4874" max="4874" width="3.77734375" style="2" customWidth="1"/>
    <col min="4875" max="4875" width="6.77734375" style="2" customWidth="1"/>
    <col min="4876" max="4876" width="17.77734375" style="2" customWidth="1"/>
    <col min="4877" max="4877" width="4.77734375" style="2" customWidth="1"/>
    <col min="4878" max="4878" width="8.77734375" style="2" customWidth="1"/>
    <col min="4879" max="4879" width="22.21875" style="2" customWidth="1"/>
    <col min="4880" max="4880" width="45.5546875" style="2" customWidth="1"/>
    <col min="4881" max="4881" width="4.77734375" style="2" customWidth="1"/>
    <col min="4882" max="4882" width="46.5546875" style="2" bestFit="1" customWidth="1"/>
    <col min="4883" max="4883" width="13.77734375" style="2" bestFit="1" customWidth="1"/>
    <col min="4884" max="4885" width="10.77734375" style="2" bestFit="1" customWidth="1"/>
    <col min="4886" max="5129" width="9.21875" style="2"/>
    <col min="5130" max="5130" width="3.77734375" style="2" customWidth="1"/>
    <col min="5131" max="5131" width="6.77734375" style="2" customWidth="1"/>
    <col min="5132" max="5132" width="17.77734375" style="2" customWidth="1"/>
    <col min="5133" max="5133" width="4.77734375" style="2" customWidth="1"/>
    <col min="5134" max="5134" width="8.77734375" style="2" customWidth="1"/>
    <col min="5135" max="5135" width="22.21875" style="2" customWidth="1"/>
    <col min="5136" max="5136" width="45.5546875" style="2" customWidth="1"/>
    <col min="5137" max="5137" width="4.77734375" style="2" customWidth="1"/>
    <col min="5138" max="5138" width="46.5546875" style="2" bestFit="1" customWidth="1"/>
    <col min="5139" max="5139" width="13.77734375" style="2" bestFit="1" customWidth="1"/>
    <col min="5140" max="5141" width="10.77734375" style="2" bestFit="1" customWidth="1"/>
    <col min="5142" max="5385" width="9.21875" style="2"/>
    <col min="5386" max="5386" width="3.77734375" style="2" customWidth="1"/>
    <col min="5387" max="5387" width="6.77734375" style="2" customWidth="1"/>
    <col min="5388" max="5388" width="17.77734375" style="2" customWidth="1"/>
    <col min="5389" max="5389" width="4.77734375" style="2" customWidth="1"/>
    <col min="5390" max="5390" width="8.77734375" style="2" customWidth="1"/>
    <col min="5391" max="5391" width="22.21875" style="2" customWidth="1"/>
    <col min="5392" max="5392" width="45.5546875" style="2" customWidth="1"/>
    <col min="5393" max="5393" width="4.77734375" style="2" customWidth="1"/>
    <col min="5394" max="5394" width="46.5546875" style="2" bestFit="1" customWidth="1"/>
    <col min="5395" max="5395" width="13.77734375" style="2" bestFit="1" customWidth="1"/>
    <col min="5396" max="5397" width="10.77734375" style="2" bestFit="1" customWidth="1"/>
    <col min="5398" max="5641" width="9.21875" style="2"/>
    <col min="5642" max="5642" width="3.77734375" style="2" customWidth="1"/>
    <col min="5643" max="5643" width="6.77734375" style="2" customWidth="1"/>
    <col min="5644" max="5644" width="17.77734375" style="2" customWidth="1"/>
    <col min="5645" max="5645" width="4.77734375" style="2" customWidth="1"/>
    <col min="5646" max="5646" width="8.77734375" style="2" customWidth="1"/>
    <col min="5647" max="5647" width="22.21875" style="2" customWidth="1"/>
    <col min="5648" max="5648" width="45.5546875" style="2" customWidth="1"/>
    <col min="5649" max="5649" width="4.77734375" style="2" customWidth="1"/>
    <col min="5650" max="5650" width="46.5546875" style="2" bestFit="1" customWidth="1"/>
    <col min="5651" max="5651" width="13.77734375" style="2" bestFit="1" customWidth="1"/>
    <col min="5652" max="5653" width="10.77734375" style="2" bestFit="1" customWidth="1"/>
    <col min="5654" max="5897" width="9.21875" style="2"/>
    <col min="5898" max="5898" width="3.77734375" style="2" customWidth="1"/>
    <col min="5899" max="5899" width="6.77734375" style="2" customWidth="1"/>
    <col min="5900" max="5900" width="17.77734375" style="2" customWidth="1"/>
    <col min="5901" max="5901" width="4.77734375" style="2" customWidth="1"/>
    <col min="5902" max="5902" width="8.77734375" style="2" customWidth="1"/>
    <col min="5903" max="5903" width="22.21875" style="2" customWidth="1"/>
    <col min="5904" max="5904" width="45.5546875" style="2" customWidth="1"/>
    <col min="5905" max="5905" width="4.77734375" style="2" customWidth="1"/>
    <col min="5906" max="5906" width="46.5546875" style="2" bestFit="1" customWidth="1"/>
    <col min="5907" max="5907" width="13.77734375" style="2" bestFit="1" customWidth="1"/>
    <col min="5908" max="5909" width="10.77734375" style="2" bestFit="1" customWidth="1"/>
    <col min="5910" max="6153" width="9.21875" style="2"/>
    <col min="6154" max="6154" width="3.77734375" style="2" customWidth="1"/>
    <col min="6155" max="6155" width="6.77734375" style="2" customWidth="1"/>
    <col min="6156" max="6156" width="17.77734375" style="2" customWidth="1"/>
    <col min="6157" max="6157" width="4.77734375" style="2" customWidth="1"/>
    <col min="6158" max="6158" width="8.77734375" style="2" customWidth="1"/>
    <col min="6159" max="6159" width="22.21875" style="2" customWidth="1"/>
    <col min="6160" max="6160" width="45.5546875" style="2" customWidth="1"/>
    <col min="6161" max="6161" width="4.77734375" style="2" customWidth="1"/>
    <col min="6162" max="6162" width="46.5546875" style="2" bestFit="1" customWidth="1"/>
    <col min="6163" max="6163" width="13.77734375" style="2" bestFit="1" customWidth="1"/>
    <col min="6164" max="6165" width="10.77734375" style="2" bestFit="1" customWidth="1"/>
    <col min="6166" max="6409" width="9.21875" style="2"/>
    <col min="6410" max="6410" width="3.77734375" style="2" customWidth="1"/>
    <col min="6411" max="6411" width="6.77734375" style="2" customWidth="1"/>
    <col min="6412" max="6412" width="17.77734375" style="2" customWidth="1"/>
    <col min="6413" max="6413" width="4.77734375" style="2" customWidth="1"/>
    <col min="6414" max="6414" width="8.77734375" style="2" customWidth="1"/>
    <col min="6415" max="6415" width="22.21875" style="2" customWidth="1"/>
    <col min="6416" max="6416" width="45.5546875" style="2" customWidth="1"/>
    <col min="6417" max="6417" width="4.77734375" style="2" customWidth="1"/>
    <col min="6418" max="6418" width="46.5546875" style="2" bestFit="1" customWidth="1"/>
    <col min="6419" max="6419" width="13.77734375" style="2" bestFit="1" customWidth="1"/>
    <col min="6420" max="6421" width="10.77734375" style="2" bestFit="1" customWidth="1"/>
    <col min="6422" max="6665" width="9.21875" style="2"/>
    <col min="6666" max="6666" width="3.77734375" style="2" customWidth="1"/>
    <col min="6667" max="6667" width="6.77734375" style="2" customWidth="1"/>
    <col min="6668" max="6668" width="17.77734375" style="2" customWidth="1"/>
    <col min="6669" max="6669" width="4.77734375" style="2" customWidth="1"/>
    <col min="6670" max="6670" width="8.77734375" style="2" customWidth="1"/>
    <col min="6671" max="6671" width="22.21875" style="2" customWidth="1"/>
    <col min="6672" max="6672" width="45.5546875" style="2" customWidth="1"/>
    <col min="6673" max="6673" width="4.77734375" style="2" customWidth="1"/>
    <col min="6674" max="6674" width="46.5546875" style="2" bestFit="1" customWidth="1"/>
    <col min="6675" max="6675" width="13.77734375" style="2" bestFit="1" customWidth="1"/>
    <col min="6676" max="6677" width="10.77734375" style="2" bestFit="1" customWidth="1"/>
    <col min="6678" max="6921" width="9.21875" style="2"/>
    <col min="6922" max="6922" width="3.77734375" style="2" customWidth="1"/>
    <col min="6923" max="6923" width="6.77734375" style="2" customWidth="1"/>
    <col min="6924" max="6924" width="17.77734375" style="2" customWidth="1"/>
    <col min="6925" max="6925" width="4.77734375" style="2" customWidth="1"/>
    <col min="6926" max="6926" width="8.77734375" style="2" customWidth="1"/>
    <col min="6927" max="6927" width="22.21875" style="2" customWidth="1"/>
    <col min="6928" max="6928" width="45.5546875" style="2" customWidth="1"/>
    <col min="6929" max="6929" width="4.77734375" style="2" customWidth="1"/>
    <col min="6930" max="6930" width="46.5546875" style="2" bestFit="1" customWidth="1"/>
    <col min="6931" max="6931" width="13.77734375" style="2" bestFit="1" customWidth="1"/>
    <col min="6932" max="6933" width="10.77734375" style="2" bestFit="1" customWidth="1"/>
    <col min="6934" max="7177" width="9.21875" style="2"/>
    <col min="7178" max="7178" width="3.77734375" style="2" customWidth="1"/>
    <col min="7179" max="7179" width="6.77734375" style="2" customWidth="1"/>
    <col min="7180" max="7180" width="17.77734375" style="2" customWidth="1"/>
    <col min="7181" max="7181" width="4.77734375" style="2" customWidth="1"/>
    <col min="7182" max="7182" width="8.77734375" style="2" customWidth="1"/>
    <col min="7183" max="7183" width="22.21875" style="2" customWidth="1"/>
    <col min="7184" max="7184" width="45.5546875" style="2" customWidth="1"/>
    <col min="7185" max="7185" width="4.77734375" style="2" customWidth="1"/>
    <col min="7186" max="7186" width="46.5546875" style="2" bestFit="1" customWidth="1"/>
    <col min="7187" max="7187" width="13.77734375" style="2" bestFit="1" customWidth="1"/>
    <col min="7188" max="7189" width="10.77734375" style="2" bestFit="1" customWidth="1"/>
    <col min="7190" max="7433" width="9.21875" style="2"/>
    <col min="7434" max="7434" width="3.77734375" style="2" customWidth="1"/>
    <col min="7435" max="7435" width="6.77734375" style="2" customWidth="1"/>
    <col min="7436" max="7436" width="17.77734375" style="2" customWidth="1"/>
    <col min="7437" max="7437" width="4.77734375" style="2" customWidth="1"/>
    <col min="7438" max="7438" width="8.77734375" style="2" customWidth="1"/>
    <col min="7439" max="7439" width="22.21875" style="2" customWidth="1"/>
    <col min="7440" max="7440" width="45.5546875" style="2" customWidth="1"/>
    <col min="7441" max="7441" width="4.77734375" style="2" customWidth="1"/>
    <col min="7442" max="7442" width="46.5546875" style="2" bestFit="1" customWidth="1"/>
    <col min="7443" max="7443" width="13.77734375" style="2" bestFit="1" customWidth="1"/>
    <col min="7444" max="7445" width="10.77734375" style="2" bestFit="1" customWidth="1"/>
    <col min="7446" max="7689" width="9.21875" style="2"/>
    <col min="7690" max="7690" width="3.77734375" style="2" customWidth="1"/>
    <col min="7691" max="7691" width="6.77734375" style="2" customWidth="1"/>
    <col min="7692" max="7692" width="17.77734375" style="2" customWidth="1"/>
    <col min="7693" max="7693" width="4.77734375" style="2" customWidth="1"/>
    <col min="7694" max="7694" width="8.77734375" style="2" customWidth="1"/>
    <col min="7695" max="7695" width="22.21875" style="2" customWidth="1"/>
    <col min="7696" max="7696" width="45.5546875" style="2" customWidth="1"/>
    <col min="7697" max="7697" width="4.77734375" style="2" customWidth="1"/>
    <col min="7698" max="7698" width="46.5546875" style="2" bestFit="1" customWidth="1"/>
    <col min="7699" max="7699" width="13.77734375" style="2" bestFit="1" customWidth="1"/>
    <col min="7700" max="7701" width="10.77734375" style="2" bestFit="1" customWidth="1"/>
    <col min="7702" max="7945" width="9.21875" style="2"/>
    <col min="7946" max="7946" width="3.77734375" style="2" customWidth="1"/>
    <col min="7947" max="7947" width="6.77734375" style="2" customWidth="1"/>
    <col min="7948" max="7948" width="17.77734375" style="2" customWidth="1"/>
    <col min="7949" max="7949" width="4.77734375" style="2" customWidth="1"/>
    <col min="7950" max="7950" width="8.77734375" style="2" customWidth="1"/>
    <col min="7951" max="7951" width="22.21875" style="2" customWidth="1"/>
    <col min="7952" max="7952" width="45.5546875" style="2" customWidth="1"/>
    <col min="7953" max="7953" width="4.77734375" style="2" customWidth="1"/>
    <col min="7954" max="7954" width="46.5546875" style="2" bestFit="1" customWidth="1"/>
    <col min="7955" max="7955" width="13.77734375" style="2" bestFit="1" customWidth="1"/>
    <col min="7956" max="7957" width="10.77734375" style="2" bestFit="1" customWidth="1"/>
    <col min="7958" max="8201" width="9.21875" style="2"/>
    <col min="8202" max="8202" width="3.77734375" style="2" customWidth="1"/>
    <col min="8203" max="8203" width="6.77734375" style="2" customWidth="1"/>
    <col min="8204" max="8204" width="17.77734375" style="2" customWidth="1"/>
    <col min="8205" max="8205" width="4.77734375" style="2" customWidth="1"/>
    <col min="8206" max="8206" width="8.77734375" style="2" customWidth="1"/>
    <col min="8207" max="8207" width="22.21875" style="2" customWidth="1"/>
    <col min="8208" max="8208" width="45.5546875" style="2" customWidth="1"/>
    <col min="8209" max="8209" width="4.77734375" style="2" customWidth="1"/>
    <col min="8210" max="8210" width="46.5546875" style="2" bestFit="1" customWidth="1"/>
    <col min="8211" max="8211" width="13.77734375" style="2" bestFit="1" customWidth="1"/>
    <col min="8212" max="8213" width="10.77734375" style="2" bestFit="1" customWidth="1"/>
    <col min="8214" max="8457" width="9.21875" style="2"/>
    <col min="8458" max="8458" width="3.77734375" style="2" customWidth="1"/>
    <col min="8459" max="8459" width="6.77734375" style="2" customWidth="1"/>
    <col min="8460" max="8460" width="17.77734375" style="2" customWidth="1"/>
    <col min="8461" max="8461" width="4.77734375" style="2" customWidth="1"/>
    <col min="8462" max="8462" width="8.77734375" style="2" customWidth="1"/>
    <col min="8463" max="8463" width="22.21875" style="2" customWidth="1"/>
    <col min="8464" max="8464" width="45.5546875" style="2" customWidth="1"/>
    <col min="8465" max="8465" width="4.77734375" style="2" customWidth="1"/>
    <col min="8466" max="8466" width="46.5546875" style="2" bestFit="1" customWidth="1"/>
    <col min="8467" max="8467" width="13.77734375" style="2" bestFit="1" customWidth="1"/>
    <col min="8468" max="8469" width="10.77734375" style="2" bestFit="1" customWidth="1"/>
    <col min="8470" max="8713" width="9.21875" style="2"/>
    <col min="8714" max="8714" width="3.77734375" style="2" customWidth="1"/>
    <col min="8715" max="8715" width="6.77734375" style="2" customWidth="1"/>
    <col min="8716" max="8716" width="17.77734375" style="2" customWidth="1"/>
    <col min="8717" max="8717" width="4.77734375" style="2" customWidth="1"/>
    <col min="8718" max="8718" width="8.77734375" style="2" customWidth="1"/>
    <col min="8719" max="8719" width="22.21875" style="2" customWidth="1"/>
    <col min="8720" max="8720" width="45.5546875" style="2" customWidth="1"/>
    <col min="8721" max="8721" width="4.77734375" style="2" customWidth="1"/>
    <col min="8722" max="8722" width="46.5546875" style="2" bestFit="1" customWidth="1"/>
    <col min="8723" max="8723" width="13.77734375" style="2" bestFit="1" customWidth="1"/>
    <col min="8724" max="8725" width="10.77734375" style="2" bestFit="1" customWidth="1"/>
    <col min="8726" max="8969" width="9.21875" style="2"/>
    <col min="8970" max="8970" width="3.77734375" style="2" customWidth="1"/>
    <col min="8971" max="8971" width="6.77734375" style="2" customWidth="1"/>
    <col min="8972" max="8972" width="17.77734375" style="2" customWidth="1"/>
    <col min="8973" max="8973" width="4.77734375" style="2" customWidth="1"/>
    <col min="8974" max="8974" width="8.77734375" style="2" customWidth="1"/>
    <col min="8975" max="8975" width="22.21875" style="2" customWidth="1"/>
    <col min="8976" max="8976" width="45.5546875" style="2" customWidth="1"/>
    <col min="8977" max="8977" width="4.77734375" style="2" customWidth="1"/>
    <col min="8978" max="8978" width="46.5546875" style="2" bestFit="1" customWidth="1"/>
    <col min="8979" max="8979" width="13.77734375" style="2" bestFit="1" customWidth="1"/>
    <col min="8980" max="8981" width="10.77734375" style="2" bestFit="1" customWidth="1"/>
    <col min="8982" max="9225" width="9.21875" style="2"/>
    <col min="9226" max="9226" width="3.77734375" style="2" customWidth="1"/>
    <col min="9227" max="9227" width="6.77734375" style="2" customWidth="1"/>
    <col min="9228" max="9228" width="17.77734375" style="2" customWidth="1"/>
    <col min="9229" max="9229" width="4.77734375" style="2" customWidth="1"/>
    <col min="9230" max="9230" width="8.77734375" style="2" customWidth="1"/>
    <col min="9231" max="9231" width="22.21875" style="2" customWidth="1"/>
    <col min="9232" max="9232" width="45.5546875" style="2" customWidth="1"/>
    <col min="9233" max="9233" width="4.77734375" style="2" customWidth="1"/>
    <col min="9234" max="9234" width="46.5546875" style="2" bestFit="1" customWidth="1"/>
    <col min="9235" max="9235" width="13.77734375" style="2" bestFit="1" customWidth="1"/>
    <col min="9236" max="9237" width="10.77734375" style="2" bestFit="1" customWidth="1"/>
    <col min="9238" max="9481" width="9.21875" style="2"/>
    <col min="9482" max="9482" width="3.77734375" style="2" customWidth="1"/>
    <col min="9483" max="9483" width="6.77734375" style="2" customWidth="1"/>
    <col min="9484" max="9484" width="17.77734375" style="2" customWidth="1"/>
    <col min="9485" max="9485" width="4.77734375" style="2" customWidth="1"/>
    <col min="9486" max="9486" width="8.77734375" style="2" customWidth="1"/>
    <col min="9487" max="9487" width="22.21875" style="2" customWidth="1"/>
    <col min="9488" max="9488" width="45.5546875" style="2" customWidth="1"/>
    <col min="9489" max="9489" width="4.77734375" style="2" customWidth="1"/>
    <col min="9490" max="9490" width="46.5546875" style="2" bestFit="1" customWidth="1"/>
    <col min="9491" max="9491" width="13.77734375" style="2" bestFit="1" customWidth="1"/>
    <col min="9492" max="9493" width="10.77734375" style="2" bestFit="1" customWidth="1"/>
    <col min="9494" max="9737" width="9.21875" style="2"/>
    <col min="9738" max="9738" width="3.77734375" style="2" customWidth="1"/>
    <col min="9739" max="9739" width="6.77734375" style="2" customWidth="1"/>
    <col min="9740" max="9740" width="17.77734375" style="2" customWidth="1"/>
    <col min="9741" max="9741" width="4.77734375" style="2" customWidth="1"/>
    <col min="9742" max="9742" width="8.77734375" style="2" customWidth="1"/>
    <col min="9743" max="9743" width="22.21875" style="2" customWidth="1"/>
    <col min="9744" max="9744" width="45.5546875" style="2" customWidth="1"/>
    <col min="9745" max="9745" width="4.77734375" style="2" customWidth="1"/>
    <col min="9746" max="9746" width="46.5546875" style="2" bestFit="1" customWidth="1"/>
    <col min="9747" max="9747" width="13.77734375" style="2" bestFit="1" customWidth="1"/>
    <col min="9748" max="9749" width="10.77734375" style="2" bestFit="1" customWidth="1"/>
    <col min="9750" max="9993" width="9.21875" style="2"/>
    <col min="9994" max="9994" width="3.77734375" style="2" customWidth="1"/>
    <col min="9995" max="9995" width="6.77734375" style="2" customWidth="1"/>
    <col min="9996" max="9996" width="17.77734375" style="2" customWidth="1"/>
    <col min="9997" max="9997" width="4.77734375" style="2" customWidth="1"/>
    <col min="9998" max="9998" width="8.77734375" style="2" customWidth="1"/>
    <col min="9999" max="9999" width="22.21875" style="2" customWidth="1"/>
    <col min="10000" max="10000" width="45.5546875" style="2" customWidth="1"/>
    <col min="10001" max="10001" width="4.77734375" style="2" customWidth="1"/>
    <col min="10002" max="10002" width="46.5546875" style="2" bestFit="1" customWidth="1"/>
    <col min="10003" max="10003" width="13.77734375" style="2" bestFit="1" customWidth="1"/>
    <col min="10004" max="10005" width="10.77734375" style="2" bestFit="1" customWidth="1"/>
    <col min="10006" max="10249" width="9.21875" style="2"/>
    <col min="10250" max="10250" width="3.77734375" style="2" customWidth="1"/>
    <col min="10251" max="10251" width="6.77734375" style="2" customWidth="1"/>
    <col min="10252" max="10252" width="17.77734375" style="2" customWidth="1"/>
    <col min="10253" max="10253" width="4.77734375" style="2" customWidth="1"/>
    <col min="10254" max="10254" width="8.77734375" style="2" customWidth="1"/>
    <col min="10255" max="10255" width="22.21875" style="2" customWidth="1"/>
    <col min="10256" max="10256" width="45.5546875" style="2" customWidth="1"/>
    <col min="10257" max="10257" width="4.77734375" style="2" customWidth="1"/>
    <col min="10258" max="10258" width="46.5546875" style="2" bestFit="1" customWidth="1"/>
    <col min="10259" max="10259" width="13.77734375" style="2" bestFit="1" customWidth="1"/>
    <col min="10260" max="10261" width="10.77734375" style="2" bestFit="1" customWidth="1"/>
    <col min="10262" max="10505" width="9.21875" style="2"/>
    <col min="10506" max="10506" width="3.77734375" style="2" customWidth="1"/>
    <col min="10507" max="10507" width="6.77734375" style="2" customWidth="1"/>
    <col min="10508" max="10508" width="17.77734375" style="2" customWidth="1"/>
    <col min="10509" max="10509" width="4.77734375" style="2" customWidth="1"/>
    <col min="10510" max="10510" width="8.77734375" style="2" customWidth="1"/>
    <col min="10511" max="10511" width="22.21875" style="2" customWidth="1"/>
    <col min="10512" max="10512" width="45.5546875" style="2" customWidth="1"/>
    <col min="10513" max="10513" width="4.77734375" style="2" customWidth="1"/>
    <col min="10514" max="10514" width="46.5546875" style="2" bestFit="1" customWidth="1"/>
    <col min="10515" max="10515" width="13.77734375" style="2" bestFit="1" customWidth="1"/>
    <col min="10516" max="10517" width="10.77734375" style="2" bestFit="1" customWidth="1"/>
    <col min="10518" max="10761" width="9.21875" style="2"/>
    <col min="10762" max="10762" width="3.77734375" style="2" customWidth="1"/>
    <col min="10763" max="10763" width="6.77734375" style="2" customWidth="1"/>
    <col min="10764" max="10764" width="17.77734375" style="2" customWidth="1"/>
    <col min="10765" max="10765" width="4.77734375" style="2" customWidth="1"/>
    <col min="10766" max="10766" width="8.77734375" style="2" customWidth="1"/>
    <col min="10767" max="10767" width="22.21875" style="2" customWidth="1"/>
    <col min="10768" max="10768" width="45.5546875" style="2" customWidth="1"/>
    <col min="10769" max="10769" width="4.77734375" style="2" customWidth="1"/>
    <col min="10770" max="10770" width="46.5546875" style="2" bestFit="1" customWidth="1"/>
    <col min="10771" max="10771" width="13.77734375" style="2" bestFit="1" customWidth="1"/>
    <col min="10772" max="10773" width="10.77734375" style="2" bestFit="1" customWidth="1"/>
    <col min="10774" max="11017" width="9.21875" style="2"/>
    <col min="11018" max="11018" width="3.77734375" style="2" customWidth="1"/>
    <col min="11019" max="11019" width="6.77734375" style="2" customWidth="1"/>
    <col min="11020" max="11020" width="17.77734375" style="2" customWidth="1"/>
    <col min="11021" max="11021" width="4.77734375" style="2" customWidth="1"/>
    <col min="11022" max="11022" width="8.77734375" style="2" customWidth="1"/>
    <col min="11023" max="11023" width="22.21875" style="2" customWidth="1"/>
    <col min="11024" max="11024" width="45.5546875" style="2" customWidth="1"/>
    <col min="11025" max="11025" width="4.77734375" style="2" customWidth="1"/>
    <col min="11026" max="11026" width="46.5546875" style="2" bestFit="1" customWidth="1"/>
    <col min="11027" max="11027" width="13.77734375" style="2" bestFit="1" customWidth="1"/>
    <col min="11028" max="11029" width="10.77734375" style="2" bestFit="1" customWidth="1"/>
    <col min="11030" max="11273" width="9.21875" style="2"/>
    <col min="11274" max="11274" width="3.77734375" style="2" customWidth="1"/>
    <col min="11275" max="11275" width="6.77734375" style="2" customWidth="1"/>
    <col min="11276" max="11276" width="17.77734375" style="2" customWidth="1"/>
    <col min="11277" max="11277" width="4.77734375" style="2" customWidth="1"/>
    <col min="11278" max="11278" width="8.77734375" style="2" customWidth="1"/>
    <col min="11279" max="11279" width="22.21875" style="2" customWidth="1"/>
    <col min="11280" max="11280" width="45.5546875" style="2" customWidth="1"/>
    <col min="11281" max="11281" width="4.77734375" style="2" customWidth="1"/>
    <col min="11282" max="11282" width="46.5546875" style="2" bestFit="1" customWidth="1"/>
    <col min="11283" max="11283" width="13.77734375" style="2" bestFit="1" customWidth="1"/>
    <col min="11284" max="11285" width="10.77734375" style="2" bestFit="1" customWidth="1"/>
    <col min="11286" max="11529" width="9.21875" style="2"/>
    <col min="11530" max="11530" width="3.77734375" style="2" customWidth="1"/>
    <col min="11531" max="11531" width="6.77734375" style="2" customWidth="1"/>
    <col min="11532" max="11532" width="17.77734375" style="2" customWidth="1"/>
    <col min="11533" max="11533" width="4.77734375" style="2" customWidth="1"/>
    <col min="11534" max="11534" width="8.77734375" style="2" customWidth="1"/>
    <col min="11535" max="11535" width="22.21875" style="2" customWidth="1"/>
    <col min="11536" max="11536" width="45.5546875" style="2" customWidth="1"/>
    <col min="11537" max="11537" width="4.77734375" style="2" customWidth="1"/>
    <col min="11538" max="11538" width="46.5546875" style="2" bestFit="1" customWidth="1"/>
    <col min="11539" max="11539" width="13.77734375" style="2" bestFit="1" customWidth="1"/>
    <col min="11540" max="11541" width="10.77734375" style="2" bestFit="1" customWidth="1"/>
    <col min="11542" max="11785" width="9.21875" style="2"/>
    <col min="11786" max="11786" width="3.77734375" style="2" customWidth="1"/>
    <col min="11787" max="11787" width="6.77734375" style="2" customWidth="1"/>
    <col min="11788" max="11788" width="17.77734375" style="2" customWidth="1"/>
    <col min="11789" max="11789" width="4.77734375" style="2" customWidth="1"/>
    <col min="11790" max="11790" width="8.77734375" style="2" customWidth="1"/>
    <col min="11791" max="11791" width="22.21875" style="2" customWidth="1"/>
    <col min="11792" max="11792" width="45.5546875" style="2" customWidth="1"/>
    <col min="11793" max="11793" width="4.77734375" style="2" customWidth="1"/>
    <col min="11794" max="11794" width="46.5546875" style="2" bestFit="1" customWidth="1"/>
    <col min="11795" max="11795" width="13.77734375" style="2" bestFit="1" customWidth="1"/>
    <col min="11796" max="11797" width="10.77734375" style="2" bestFit="1" customWidth="1"/>
    <col min="11798" max="12041" width="9.21875" style="2"/>
    <col min="12042" max="12042" width="3.77734375" style="2" customWidth="1"/>
    <col min="12043" max="12043" width="6.77734375" style="2" customWidth="1"/>
    <col min="12044" max="12044" width="17.77734375" style="2" customWidth="1"/>
    <col min="12045" max="12045" width="4.77734375" style="2" customWidth="1"/>
    <col min="12046" max="12046" width="8.77734375" style="2" customWidth="1"/>
    <col min="12047" max="12047" width="22.21875" style="2" customWidth="1"/>
    <col min="12048" max="12048" width="45.5546875" style="2" customWidth="1"/>
    <col min="12049" max="12049" width="4.77734375" style="2" customWidth="1"/>
    <col min="12050" max="12050" width="46.5546875" style="2" bestFit="1" customWidth="1"/>
    <col min="12051" max="12051" width="13.77734375" style="2" bestFit="1" customWidth="1"/>
    <col min="12052" max="12053" width="10.77734375" style="2" bestFit="1" customWidth="1"/>
    <col min="12054" max="12297" width="9.21875" style="2"/>
    <col min="12298" max="12298" width="3.77734375" style="2" customWidth="1"/>
    <col min="12299" max="12299" width="6.77734375" style="2" customWidth="1"/>
    <col min="12300" max="12300" width="17.77734375" style="2" customWidth="1"/>
    <col min="12301" max="12301" width="4.77734375" style="2" customWidth="1"/>
    <col min="12302" max="12302" width="8.77734375" style="2" customWidth="1"/>
    <col min="12303" max="12303" width="22.21875" style="2" customWidth="1"/>
    <col min="12304" max="12304" width="45.5546875" style="2" customWidth="1"/>
    <col min="12305" max="12305" width="4.77734375" style="2" customWidth="1"/>
    <col min="12306" max="12306" width="46.5546875" style="2" bestFit="1" customWidth="1"/>
    <col min="12307" max="12307" width="13.77734375" style="2" bestFit="1" customWidth="1"/>
    <col min="12308" max="12309" width="10.77734375" style="2" bestFit="1" customWidth="1"/>
    <col min="12310" max="12553" width="9.21875" style="2"/>
    <col min="12554" max="12554" width="3.77734375" style="2" customWidth="1"/>
    <col min="12555" max="12555" width="6.77734375" style="2" customWidth="1"/>
    <col min="12556" max="12556" width="17.77734375" style="2" customWidth="1"/>
    <col min="12557" max="12557" width="4.77734375" style="2" customWidth="1"/>
    <col min="12558" max="12558" width="8.77734375" style="2" customWidth="1"/>
    <col min="12559" max="12559" width="22.21875" style="2" customWidth="1"/>
    <col min="12560" max="12560" width="45.5546875" style="2" customWidth="1"/>
    <col min="12561" max="12561" width="4.77734375" style="2" customWidth="1"/>
    <col min="12562" max="12562" width="46.5546875" style="2" bestFit="1" customWidth="1"/>
    <col min="12563" max="12563" width="13.77734375" style="2" bestFit="1" customWidth="1"/>
    <col min="12564" max="12565" width="10.77734375" style="2" bestFit="1" customWidth="1"/>
    <col min="12566" max="12809" width="9.21875" style="2"/>
    <col min="12810" max="12810" width="3.77734375" style="2" customWidth="1"/>
    <col min="12811" max="12811" width="6.77734375" style="2" customWidth="1"/>
    <col min="12812" max="12812" width="17.77734375" style="2" customWidth="1"/>
    <col min="12813" max="12813" width="4.77734375" style="2" customWidth="1"/>
    <col min="12814" max="12814" width="8.77734375" style="2" customWidth="1"/>
    <col min="12815" max="12815" width="22.21875" style="2" customWidth="1"/>
    <col min="12816" max="12816" width="45.5546875" style="2" customWidth="1"/>
    <col min="12817" max="12817" width="4.77734375" style="2" customWidth="1"/>
    <col min="12818" max="12818" width="46.5546875" style="2" bestFit="1" customWidth="1"/>
    <col min="12819" max="12819" width="13.77734375" style="2" bestFit="1" customWidth="1"/>
    <col min="12820" max="12821" width="10.77734375" style="2" bestFit="1" customWidth="1"/>
    <col min="12822" max="13065" width="9.21875" style="2"/>
    <col min="13066" max="13066" width="3.77734375" style="2" customWidth="1"/>
    <col min="13067" max="13067" width="6.77734375" style="2" customWidth="1"/>
    <col min="13068" max="13068" width="17.77734375" style="2" customWidth="1"/>
    <col min="13069" max="13069" width="4.77734375" style="2" customWidth="1"/>
    <col min="13070" max="13070" width="8.77734375" style="2" customWidth="1"/>
    <col min="13071" max="13071" width="22.21875" style="2" customWidth="1"/>
    <col min="13072" max="13072" width="45.5546875" style="2" customWidth="1"/>
    <col min="13073" max="13073" width="4.77734375" style="2" customWidth="1"/>
    <col min="13074" max="13074" width="46.5546875" style="2" bestFit="1" customWidth="1"/>
    <col min="13075" max="13075" width="13.77734375" style="2" bestFit="1" customWidth="1"/>
    <col min="13076" max="13077" width="10.77734375" style="2" bestFit="1" customWidth="1"/>
    <col min="13078" max="13321" width="9.21875" style="2"/>
    <col min="13322" max="13322" width="3.77734375" style="2" customWidth="1"/>
    <col min="13323" max="13323" width="6.77734375" style="2" customWidth="1"/>
    <col min="13324" max="13324" width="17.77734375" style="2" customWidth="1"/>
    <col min="13325" max="13325" width="4.77734375" style="2" customWidth="1"/>
    <col min="13326" max="13326" width="8.77734375" style="2" customWidth="1"/>
    <col min="13327" max="13327" width="22.21875" style="2" customWidth="1"/>
    <col min="13328" max="13328" width="45.5546875" style="2" customWidth="1"/>
    <col min="13329" max="13329" width="4.77734375" style="2" customWidth="1"/>
    <col min="13330" max="13330" width="46.5546875" style="2" bestFit="1" customWidth="1"/>
    <col min="13331" max="13331" width="13.77734375" style="2" bestFit="1" customWidth="1"/>
    <col min="13332" max="13333" width="10.77734375" style="2" bestFit="1" customWidth="1"/>
    <col min="13334" max="13577" width="9.21875" style="2"/>
    <col min="13578" max="13578" width="3.77734375" style="2" customWidth="1"/>
    <col min="13579" max="13579" width="6.77734375" style="2" customWidth="1"/>
    <col min="13580" max="13580" width="17.77734375" style="2" customWidth="1"/>
    <col min="13581" max="13581" width="4.77734375" style="2" customWidth="1"/>
    <col min="13582" max="13582" width="8.77734375" style="2" customWidth="1"/>
    <col min="13583" max="13583" width="22.21875" style="2" customWidth="1"/>
    <col min="13584" max="13584" width="45.5546875" style="2" customWidth="1"/>
    <col min="13585" max="13585" width="4.77734375" style="2" customWidth="1"/>
    <col min="13586" max="13586" width="46.5546875" style="2" bestFit="1" customWidth="1"/>
    <col min="13587" max="13587" width="13.77734375" style="2" bestFit="1" customWidth="1"/>
    <col min="13588" max="13589" width="10.77734375" style="2" bestFit="1" customWidth="1"/>
    <col min="13590" max="13833" width="9.21875" style="2"/>
    <col min="13834" max="13834" width="3.77734375" style="2" customWidth="1"/>
    <col min="13835" max="13835" width="6.77734375" style="2" customWidth="1"/>
    <col min="13836" max="13836" width="17.77734375" style="2" customWidth="1"/>
    <col min="13837" max="13837" width="4.77734375" style="2" customWidth="1"/>
    <col min="13838" max="13838" width="8.77734375" style="2" customWidth="1"/>
    <col min="13839" max="13839" width="22.21875" style="2" customWidth="1"/>
    <col min="13840" max="13840" width="45.5546875" style="2" customWidth="1"/>
    <col min="13841" max="13841" width="4.77734375" style="2" customWidth="1"/>
    <col min="13842" max="13842" width="46.5546875" style="2" bestFit="1" customWidth="1"/>
    <col min="13843" max="13843" width="13.77734375" style="2" bestFit="1" customWidth="1"/>
    <col min="13844" max="13845" width="10.77734375" style="2" bestFit="1" customWidth="1"/>
    <col min="13846" max="14089" width="9.21875" style="2"/>
    <col min="14090" max="14090" width="3.77734375" style="2" customWidth="1"/>
    <col min="14091" max="14091" width="6.77734375" style="2" customWidth="1"/>
    <col min="14092" max="14092" width="17.77734375" style="2" customWidth="1"/>
    <col min="14093" max="14093" width="4.77734375" style="2" customWidth="1"/>
    <col min="14094" max="14094" width="8.77734375" style="2" customWidth="1"/>
    <col min="14095" max="14095" width="22.21875" style="2" customWidth="1"/>
    <col min="14096" max="14096" width="45.5546875" style="2" customWidth="1"/>
    <col min="14097" max="14097" width="4.77734375" style="2" customWidth="1"/>
    <col min="14098" max="14098" width="46.5546875" style="2" bestFit="1" customWidth="1"/>
    <col min="14099" max="14099" width="13.77734375" style="2" bestFit="1" customWidth="1"/>
    <col min="14100" max="14101" width="10.77734375" style="2" bestFit="1" customWidth="1"/>
    <col min="14102" max="14345" width="9.21875" style="2"/>
    <col min="14346" max="14346" width="3.77734375" style="2" customWidth="1"/>
    <col min="14347" max="14347" width="6.77734375" style="2" customWidth="1"/>
    <col min="14348" max="14348" width="17.77734375" style="2" customWidth="1"/>
    <col min="14349" max="14349" width="4.77734375" style="2" customWidth="1"/>
    <col min="14350" max="14350" width="8.77734375" style="2" customWidth="1"/>
    <col min="14351" max="14351" width="22.21875" style="2" customWidth="1"/>
    <col min="14352" max="14352" width="45.5546875" style="2" customWidth="1"/>
    <col min="14353" max="14353" width="4.77734375" style="2" customWidth="1"/>
    <col min="14354" max="14354" width="46.5546875" style="2" bestFit="1" customWidth="1"/>
    <col min="14355" max="14355" width="13.77734375" style="2" bestFit="1" customWidth="1"/>
    <col min="14356" max="14357" width="10.77734375" style="2" bestFit="1" customWidth="1"/>
    <col min="14358" max="14601" width="9.21875" style="2"/>
    <col min="14602" max="14602" width="3.77734375" style="2" customWidth="1"/>
    <col min="14603" max="14603" width="6.77734375" style="2" customWidth="1"/>
    <col min="14604" max="14604" width="17.77734375" style="2" customWidth="1"/>
    <col min="14605" max="14605" width="4.77734375" style="2" customWidth="1"/>
    <col min="14606" max="14606" width="8.77734375" style="2" customWidth="1"/>
    <col min="14607" max="14607" width="22.21875" style="2" customWidth="1"/>
    <col min="14608" max="14608" width="45.5546875" style="2" customWidth="1"/>
    <col min="14609" max="14609" width="4.77734375" style="2" customWidth="1"/>
    <col min="14610" max="14610" width="46.5546875" style="2" bestFit="1" customWidth="1"/>
    <col min="14611" max="14611" width="13.77734375" style="2" bestFit="1" customWidth="1"/>
    <col min="14612" max="14613" width="10.77734375" style="2" bestFit="1" customWidth="1"/>
    <col min="14614" max="14857" width="9.21875" style="2"/>
    <col min="14858" max="14858" width="3.77734375" style="2" customWidth="1"/>
    <col min="14859" max="14859" width="6.77734375" style="2" customWidth="1"/>
    <col min="14860" max="14860" width="17.77734375" style="2" customWidth="1"/>
    <col min="14861" max="14861" width="4.77734375" style="2" customWidth="1"/>
    <col min="14862" max="14862" width="8.77734375" style="2" customWidth="1"/>
    <col min="14863" max="14863" width="22.21875" style="2" customWidth="1"/>
    <col min="14864" max="14864" width="45.5546875" style="2" customWidth="1"/>
    <col min="14865" max="14865" width="4.77734375" style="2" customWidth="1"/>
    <col min="14866" max="14866" width="46.5546875" style="2" bestFit="1" customWidth="1"/>
    <col min="14867" max="14867" width="13.77734375" style="2" bestFit="1" customWidth="1"/>
    <col min="14868" max="14869" width="10.77734375" style="2" bestFit="1" customWidth="1"/>
    <col min="14870" max="15113" width="9.21875" style="2"/>
    <col min="15114" max="15114" width="3.77734375" style="2" customWidth="1"/>
    <col min="15115" max="15115" width="6.77734375" style="2" customWidth="1"/>
    <col min="15116" max="15116" width="17.77734375" style="2" customWidth="1"/>
    <col min="15117" max="15117" width="4.77734375" style="2" customWidth="1"/>
    <col min="15118" max="15118" width="8.77734375" style="2" customWidth="1"/>
    <col min="15119" max="15119" width="22.21875" style="2" customWidth="1"/>
    <col min="15120" max="15120" width="45.5546875" style="2" customWidth="1"/>
    <col min="15121" max="15121" width="4.77734375" style="2" customWidth="1"/>
    <col min="15122" max="15122" width="46.5546875" style="2" bestFit="1" customWidth="1"/>
    <col min="15123" max="15123" width="13.77734375" style="2" bestFit="1" customWidth="1"/>
    <col min="15124" max="15125" width="10.77734375" style="2" bestFit="1" customWidth="1"/>
    <col min="15126" max="15369" width="9.21875" style="2"/>
    <col min="15370" max="15370" width="3.77734375" style="2" customWidth="1"/>
    <col min="15371" max="15371" width="6.77734375" style="2" customWidth="1"/>
    <col min="15372" max="15372" width="17.77734375" style="2" customWidth="1"/>
    <col min="15373" max="15373" width="4.77734375" style="2" customWidth="1"/>
    <col min="15374" max="15374" width="8.77734375" style="2" customWidth="1"/>
    <col min="15375" max="15375" width="22.21875" style="2" customWidth="1"/>
    <col min="15376" max="15376" width="45.5546875" style="2" customWidth="1"/>
    <col min="15377" max="15377" width="4.77734375" style="2" customWidth="1"/>
    <col min="15378" max="15378" width="46.5546875" style="2" bestFit="1" customWidth="1"/>
    <col min="15379" max="15379" width="13.77734375" style="2" bestFit="1" customWidth="1"/>
    <col min="15380" max="15381" width="10.77734375" style="2" bestFit="1" customWidth="1"/>
    <col min="15382" max="15625" width="9.21875" style="2"/>
    <col min="15626" max="15626" width="3.77734375" style="2" customWidth="1"/>
    <col min="15627" max="15627" width="6.77734375" style="2" customWidth="1"/>
    <col min="15628" max="15628" width="17.77734375" style="2" customWidth="1"/>
    <col min="15629" max="15629" width="4.77734375" style="2" customWidth="1"/>
    <col min="15630" max="15630" width="8.77734375" style="2" customWidth="1"/>
    <col min="15631" max="15631" width="22.21875" style="2" customWidth="1"/>
    <col min="15632" max="15632" width="45.5546875" style="2" customWidth="1"/>
    <col min="15633" max="15633" width="4.77734375" style="2" customWidth="1"/>
    <col min="15634" max="15634" width="46.5546875" style="2" bestFit="1" customWidth="1"/>
    <col min="15635" max="15635" width="13.77734375" style="2" bestFit="1" customWidth="1"/>
    <col min="15636" max="15637" width="10.77734375" style="2" bestFit="1" customWidth="1"/>
    <col min="15638" max="15881" width="9.21875" style="2"/>
    <col min="15882" max="15882" width="3.77734375" style="2" customWidth="1"/>
    <col min="15883" max="15883" width="6.77734375" style="2" customWidth="1"/>
    <col min="15884" max="15884" width="17.77734375" style="2" customWidth="1"/>
    <col min="15885" max="15885" width="4.77734375" style="2" customWidth="1"/>
    <col min="15886" max="15886" width="8.77734375" style="2" customWidth="1"/>
    <col min="15887" max="15887" width="22.21875" style="2" customWidth="1"/>
    <col min="15888" max="15888" width="45.5546875" style="2" customWidth="1"/>
    <col min="15889" max="15889" width="4.77734375" style="2" customWidth="1"/>
    <col min="15890" max="15890" width="46.5546875" style="2" bestFit="1" customWidth="1"/>
    <col min="15891" max="15891" width="13.77734375" style="2" bestFit="1" customWidth="1"/>
    <col min="15892" max="15893" width="10.77734375" style="2" bestFit="1" customWidth="1"/>
    <col min="15894" max="16137" width="9.21875" style="2"/>
    <col min="16138" max="16138" width="3.77734375" style="2" customWidth="1"/>
    <col min="16139" max="16139" width="6.77734375" style="2" customWidth="1"/>
    <col min="16140" max="16140" width="17.77734375" style="2" customWidth="1"/>
    <col min="16141" max="16141" width="4.77734375" style="2" customWidth="1"/>
    <col min="16142" max="16142" width="8.77734375" style="2" customWidth="1"/>
    <col min="16143" max="16143" width="22.21875" style="2" customWidth="1"/>
    <col min="16144" max="16144" width="45.5546875" style="2" customWidth="1"/>
    <col min="16145" max="16145" width="4.77734375" style="2" customWidth="1"/>
    <col min="16146" max="16146" width="46.5546875" style="2" bestFit="1" customWidth="1"/>
    <col min="16147" max="16147" width="13.77734375" style="2" bestFit="1" customWidth="1"/>
    <col min="16148" max="16149" width="10.77734375" style="2" bestFit="1" customWidth="1"/>
    <col min="16150" max="16384" width="9.21875" style="2"/>
  </cols>
  <sheetData>
    <row r="5" spans="2:19" x14ac:dyDescent="0.35">
      <c r="B5" s="1" t="s">
        <v>22</v>
      </c>
    </row>
    <row r="6" spans="2:19" s="3" customFormat="1" x14ac:dyDescent="0.35">
      <c r="B6" s="31" t="s">
        <v>144</v>
      </c>
      <c r="C6" s="400" t="str">
        <f>'Covering Letter '!D5</f>
        <v>CS/0001/2025</v>
      </c>
    </row>
    <row r="7" spans="2:19" x14ac:dyDescent="0.35">
      <c r="B7" s="1"/>
    </row>
    <row r="8" spans="2:19" ht="14.7" customHeight="1" x14ac:dyDescent="0.3">
      <c r="B8" s="539" t="s">
        <v>145</v>
      </c>
      <c r="C8" s="539"/>
      <c r="D8" s="539"/>
      <c r="E8" s="539"/>
      <c r="F8" s="539"/>
      <c r="G8" s="539"/>
      <c r="H8" s="539"/>
      <c r="I8" s="539"/>
      <c r="J8" s="539"/>
      <c r="K8" s="539"/>
      <c r="L8" s="539"/>
      <c r="M8" s="539"/>
      <c r="N8" s="539"/>
      <c r="O8" s="539"/>
      <c r="P8" s="539"/>
    </row>
    <row r="9" spans="2:19" ht="14.7" customHeight="1" x14ac:dyDescent="0.3">
      <c r="B9" s="539" t="s">
        <v>146</v>
      </c>
      <c r="C9" s="539"/>
      <c r="D9" s="539"/>
      <c r="E9" s="539"/>
      <c r="F9" s="539"/>
      <c r="G9" s="539"/>
      <c r="H9" s="539"/>
      <c r="I9" s="539"/>
      <c r="J9" s="539"/>
      <c r="K9" s="539"/>
      <c r="L9" s="539"/>
      <c r="M9" s="539"/>
      <c r="N9" s="539"/>
      <c r="O9" s="539"/>
      <c r="P9" s="539"/>
    </row>
    <row r="10" spans="2:19" ht="14.7" customHeight="1" x14ac:dyDescent="0.3">
      <c r="B10" s="539" t="s">
        <v>147</v>
      </c>
      <c r="C10" s="539"/>
      <c r="D10" s="539"/>
      <c r="E10" s="539"/>
      <c r="F10" s="539"/>
      <c r="G10" s="539"/>
      <c r="H10" s="539"/>
      <c r="I10" s="539"/>
      <c r="J10" s="539"/>
      <c r="K10" s="539"/>
      <c r="L10" s="539"/>
      <c r="M10" s="539"/>
      <c r="N10" s="539"/>
      <c r="O10" s="539"/>
      <c r="P10" s="539"/>
    </row>
    <row r="11" spans="2:19" s="160" customFormat="1" x14ac:dyDescent="0.3">
      <c r="B11" s="159"/>
    </row>
    <row r="12" spans="2:19" s="160" customFormat="1" x14ac:dyDescent="0.3">
      <c r="B12" s="548" t="s">
        <v>148</v>
      </c>
      <c r="C12" s="543" t="s">
        <v>149</v>
      </c>
      <c r="D12" s="544"/>
      <c r="E12" s="544"/>
      <c r="F12" s="552" t="s">
        <v>150</v>
      </c>
      <c r="G12" s="552"/>
      <c r="H12" s="552" t="s">
        <v>151</v>
      </c>
      <c r="I12" s="552"/>
      <c r="J12" s="552" t="s">
        <v>34</v>
      </c>
      <c r="K12" s="552"/>
      <c r="L12" s="552" t="s">
        <v>152</v>
      </c>
      <c r="M12" s="552"/>
      <c r="N12" s="552" t="s">
        <v>153</v>
      </c>
      <c r="O12" s="552"/>
      <c r="P12" s="550" t="s">
        <v>154</v>
      </c>
    </row>
    <row r="13" spans="2:19" s="160" customFormat="1" x14ac:dyDescent="0.3">
      <c r="B13" s="549"/>
      <c r="C13" s="545"/>
      <c r="D13" s="546"/>
      <c r="E13" s="547"/>
      <c r="F13" s="284" t="s">
        <v>155</v>
      </c>
      <c r="G13" s="284" t="s">
        <v>156</v>
      </c>
      <c r="H13" s="284" t="s">
        <v>155</v>
      </c>
      <c r="I13" s="284" t="s">
        <v>156</v>
      </c>
      <c r="J13" s="284" t="s">
        <v>155</v>
      </c>
      <c r="K13" s="284" t="s">
        <v>156</v>
      </c>
      <c r="L13" s="284" t="s">
        <v>157</v>
      </c>
      <c r="M13" s="284" t="s">
        <v>158</v>
      </c>
      <c r="N13" s="284" t="s">
        <v>155</v>
      </c>
      <c r="O13" s="283" t="s">
        <v>156</v>
      </c>
      <c r="P13" s="551"/>
    </row>
    <row r="14" spans="2:19" s="160" customFormat="1" x14ac:dyDescent="0.3">
      <c r="B14" s="161" t="s">
        <v>159</v>
      </c>
      <c r="C14" s="162" t="s">
        <v>160</v>
      </c>
      <c r="D14" s="163"/>
      <c r="E14" s="163"/>
      <c r="F14" s="164">
        <f t="shared" ref="F14:O14" si="0">SUM(F15:F18)</f>
        <v>6849685.8080000002</v>
      </c>
      <c r="G14" s="164">
        <f t="shared" si="0"/>
        <v>6849685.8080000002</v>
      </c>
      <c r="H14" s="164">
        <f t="shared" si="0"/>
        <v>6849685.8080000002</v>
      </c>
      <c r="I14" s="164">
        <f t="shared" si="0"/>
        <v>6849685.8080000002</v>
      </c>
      <c r="J14" s="164">
        <f t="shared" si="0"/>
        <v>6849685.8080000002</v>
      </c>
      <c r="K14" s="164">
        <f t="shared" si="0"/>
        <v>6849685.8080000002</v>
      </c>
      <c r="L14" s="164">
        <f t="shared" si="0"/>
        <v>6849685.8080000002</v>
      </c>
      <c r="M14" s="164">
        <f t="shared" si="0"/>
        <v>6849685.8080000002</v>
      </c>
      <c r="N14" s="164">
        <f t="shared" si="0"/>
        <v>6849685.8080000002</v>
      </c>
      <c r="O14" s="164">
        <f t="shared" si="0"/>
        <v>6849685.8080000002</v>
      </c>
      <c r="P14" s="309"/>
      <c r="Q14" s="160">
        <v>42</v>
      </c>
      <c r="R14"/>
      <c r="S14"/>
    </row>
    <row r="15" spans="2:19" s="160" customFormat="1" x14ac:dyDescent="0.3">
      <c r="B15" s="165">
        <v>1</v>
      </c>
      <c r="C15" s="166" t="s">
        <v>161</v>
      </c>
      <c r="D15" s="167"/>
      <c r="E15" s="168"/>
      <c r="F15" s="169">
        <f>5068000*106.5%</f>
        <v>5397420</v>
      </c>
      <c r="G15" s="169">
        <f t="shared" ref="G15:O15" si="1">5068000*106.5%</f>
        <v>5397420</v>
      </c>
      <c r="H15" s="169">
        <f t="shared" si="1"/>
        <v>5397420</v>
      </c>
      <c r="I15" s="169">
        <f t="shared" si="1"/>
        <v>5397420</v>
      </c>
      <c r="J15" s="169">
        <f t="shared" si="1"/>
        <v>5397420</v>
      </c>
      <c r="K15" s="169">
        <f t="shared" si="1"/>
        <v>5397420</v>
      </c>
      <c r="L15" s="169">
        <f t="shared" si="1"/>
        <v>5397420</v>
      </c>
      <c r="M15" s="169">
        <f t="shared" si="1"/>
        <v>5397420</v>
      </c>
      <c r="N15" s="169">
        <f t="shared" si="1"/>
        <v>5397420</v>
      </c>
      <c r="O15" s="169">
        <f t="shared" si="1"/>
        <v>5397420</v>
      </c>
      <c r="P15" s="170" t="s">
        <v>162</v>
      </c>
      <c r="Q15" s="187">
        <f>F15*$Q$14</f>
        <v>226691640</v>
      </c>
      <c r="R15"/>
      <c r="S15"/>
    </row>
    <row r="16" spans="2:19" s="160" customFormat="1" x14ac:dyDescent="0.3">
      <c r="B16" s="165">
        <v>2</v>
      </c>
      <c r="C16" s="166" t="s">
        <v>163</v>
      </c>
      <c r="D16" s="167"/>
      <c r="E16" s="168">
        <v>0.1024</v>
      </c>
      <c r="F16" s="171">
        <v>552695.80800000008</v>
      </c>
      <c r="G16" s="171">
        <v>552695.80800000008</v>
      </c>
      <c r="H16" s="171">
        <v>552695.80800000008</v>
      </c>
      <c r="I16" s="171">
        <v>552695.80800000008</v>
      </c>
      <c r="J16" s="171">
        <v>552695.80800000008</v>
      </c>
      <c r="K16" s="171">
        <v>552695.80800000008</v>
      </c>
      <c r="L16" s="171">
        <v>552695.80800000008</v>
      </c>
      <c r="M16" s="171">
        <v>552695.80800000008</v>
      </c>
      <c r="N16" s="171">
        <f>E16*N15</f>
        <v>552695.80800000008</v>
      </c>
      <c r="O16" s="171">
        <f>E16*O15</f>
        <v>552695.80800000008</v>
      </c>
      <c r="P16" s="170" t="s">
        <v>164</v>
      </c>
      <c r="Q16" s="187">
        <f t="shared" ref="Q16:Q39" si="2">F16*$Q$14</f>
        <v>23213223.936000004</v>
      </c>
      <c r="R16"/>
      <c r="S16"/>
    </row>
    <row r="17" spans="2:21" s="160" customFormat="1" x14ac:dyDescent="0.3">
      <c r="B17" s="165">
        <v>3</v>
      </c>
      <c r="C17" s="166" t="s">
        <v>165</v>
      </c>
      <c r="D17" s="167"/>
      <c r="E17" s="168"/>
      <c r="F17" s="171">
        <v>449785</v>
      </c>
      <c r="G17" s="171">
        <v>449785</v>
      </c>
      <c r="H17" s="171">
        <v>449785</v>
      </c>
      <c r="I17" s="171">
        <v>449785</v>
      </c>
      <c r="J17" s="171">
        <v>449785</v>
      </c>
      <c r="K17" s="171">
        <v>449785</v>
      </c>
      <c r="L17" s="171">
        <v>449785</v>
      </c>
      <c r="M17" s="171">
        <v>449785</v>
      </c>
      <c r="N17" s="171">
        <f>N15/12</f>
        <v>449785</v>
      </c>
      <c r="O17" s="171">
        <f>O15/12</f>
        <v>449785</v>
      </c>
      <c r="P17" s="170" t="s">
        <v>166</v>
      </c>
      <c r="Q17" s="187">
        <f t="shared" si="2"/>
        <v>18890970</v>
      </c>
      <c r="R17"/>
      <c r="S17"/>
      <c r="T17" s="172"/>
      <c r="U17" s="172"/>
    </row>
    <row r="18" spans="2:21" s="160" customFormat="1" x14ac:dyDescent="0.3">
      <c r="B18" s="165">
        <v>4</v>
      </c>
      <c r="C18" s="166" t="s">
        <v>167</v>
      </c>
      <c r="D18" s="167"/>
      <c r="E18" s="173"/>
      <c r="F18" s="171">
        <v>449785</v>
      </c>
      <c r="G18" s="171">
        <v>449785</v>
      </c>
      <c r="H18" s="171">
        <v>449785</v>
      </c>
      <c r="I18" s="171">
        <v>449785</v>
      </c>
      <c r="J18" s="171">
        <v>449785</v>
      </c>
      <c r="K18" s="171">
        <v>449785</v>
      </c>
      <c r="L18" s="171">
        <v>449785</v>
      </c>
      <c r="M18" s="171">
        <v>449785</v>
      </c>
      <c r="N18" s="171">
        <f>N15/12</f>
        <v>449785</v>
      </c>
      <c r="O18" s="171">
        <f>O15/12</f>
        <v>449785</v>
      </c>
      <c r="P18" s="170" t="s">
        <v>166</v>
      </c>
      <c r="Q18" s="187">
        <f t="shared" si="2"/>
        <v>18890970</v>
      </c>
      <c r="R18"/>
      <c r="S18"/>
    </row>
    <row r="19" spans="2:21" s="160" customFormat="1" x14ac:dyDescent="0.3">
      <c r="B19" s="174" t="s">
        <v>168</v>
      </c>
      <c r="C19" s="175" t="s">
        <v>169</v>
      </c>
      <c r="D19" s="176"/>
      <c r="E19" s="177"/>
      <c r="F19" s="178">
        <f t="shared" ref="F19:O19" si="3">F22</f>
        <v>0</v>
      </c>
      <c r="G19" s="178">
        <f t="shared" si="3"/>
        <v>0</v>
      </c>
      <c r="H19" s="178">
        <f t="shared" si="3"/>
        <v>0</v>
      </c>
      <c r="I19" s="178">
        <f t="shared" si="3"/>
        <v>0</v>
      </c>
      <c r="J19" s="178">
        <f t="shared" si="3"/>
        <v>0</v>
      </c>
      <c r="K19" s="178">
        <f t="shared" si="3"/>
        <v>0</v>
      </c>
      <c r="L19" s="178">
        <f t="shared" si="3"/>
        <v>0</v>
      </c>
      <c r="M19" s="178">
        <f t="shared" si="3"/>
        <v>0</v>
      </c>
      <c r="N19" s="178">
        <f t="shared" si="3"/>
        <v>0</v>
      </c>
      <c r="O19" s="178">
        <f t="shared" si="3"/>
        <v>0</v>
      </c>
      <c r="P19" s="179"/>
      <c r="Q19" s="187">
        <f t="shared" si="2"/>
        <v>0</v>
      </c>
      <c r="R19"/>
      <c r="S19"/>
    </row>
    <row r="20" spans="2:21" s="160" customFormat="1" x14ac:dyDescent="0.3">
      <c r="B20" s="165">
        <v>1</v>
      </c>
      <c r="C20" s="166" t="s">
        <v>170</v>
      </c>
      <c r="D20" s="167"/>
      <c r="E20" s="173"/>
      <c r="F20" s="169">
        <f>SUM(F15/173)*105%</f>
        <v>32758.907514450868</v>
      </c>
      <c r="G20" s="169">
        <f t="shared" ref="G20:O20" si="4">SUM(G15/173)*105%</f>
        <v>32758.907514450868</v>
      </c>
      <c r="H20" s="169">
        <f t="shared" si="4"/>
        <v>32758.907514450868</v>
      </c>
      <c r="I20" s="169">
        <f t="shared" si="4"/>
        <v>32758.907514450868</v>
      </c>
      <c r="J20" s="169">
        <f t="shared" si="4"/>
        <v>32758.907514450868</v>
      </c>
      <c r="K20" s="169">
        <f t="shared" si="4"/>
        <v>32758.907514450868</v>
      </c>
      <c r="L20" s="169">
        <f t="shared" si="4"/>
        <v>32758.907514450868</v>
      </c>
      <c r="M20" s="169">
        <f t="shared" si="4"/>
        <v>32758.907514450868</v>
      </c>
      <c r="N20" s="169">
        <f t="shared" si="4"/>
        <v>32758.907514450868</v>
      </c>
      <c r="O20" s="169">
        <f t="shared" si="4"/>
        <v>32758.907514450868</v>
      </c>
      <c r="P20" s="170" t="s">
        <v>171</v>
      </c>
      <c r="Q20" s="187">
        <f t="shared" si="2"/>
        <v>1375874.1156069364</v>
      </c>
      <c r="R20"/>
      <c r="S20"/>
    </row>
    <row r="21" spans="2:21" s="160" customFormat="1" x14ac:dyDescent="0.3">
      <c r="B21" s="165">
        <v>2</v>
      </c>
      <c r="C21" s="166" t="s">
        <v>172</v>
      </c>
      <c r="D21" s="167"/>
      <c r="E21" s="173"/>
      <c r="F21" s="181">
        <v>0</v>
      </c>
      <c r="G21" s="181">
        <v>0</v>
      </c>
      <c r="H21" s="181">
        <v>0</v>
      </c>
      <c r="I21" s="181">
        <v>0</v>
      </c>
      <c r="J21" s="181">
        <v>0</v>
      </c>
      <c r="K21" s="181">
        <v>0</v>
      </c>
      <c r="L21" s="181">
        <v>0</v>
      </c>
      <c r="M21" s="181">
        <v>0</v>
      </c>
      <c r="N21" s="181">
        <v>0</v>
      </c>
      <c r="O21" s="181">
        <v>0</v>
      </c>
      <c r="P21" s="313" t="s">
        <v>173</v>
      </c>
      <c r="Q21" s="187">
        <f t="shared" si="2"/>
        <v>0</v>
      </c>
      <c r="R21"/>
      <c r="S21"/>
    </row>
    <row r="22" spans="2:21" s="160" customFormat="1" ht="14.55" customHeight="1" x14ac:dyDescent="0.3">
      <c r="B22" s="165">
        <v>3</v>
      </c>
      <c r="C22" s="166" t="s">
        <v>174</v>
      </c>
      <c r="D22" s="167"/>
      <c r="E22" s="173"/>
      <c r="F22" s="169">
        <f t="shared" ref="F22:M22" si="5">F20*F21</f>
        <v>0</v>
      </c>
      <c r="G22" s="169">
        <f t="shared" si="5"/>
        <v>0</v>
      </c>
      <c r="H22" s="169">
        <f t="shared" si="5"/>
        <v>0</v>
      </c>
      <c r="I22" s="169">
        <f t="shared" si="5"/>
        <v>0</v>
      </c>
      <c r="J22" s="169">
        <f t="shared" si="5"/>
        <v>0</v>
      </c>
      <c r="K22" s="180">
        <f t="shared" si="5"/>
        <v>0</v>
      </c>
      <c r="L22" s="169">
        <f t="shared" si="5"/>
        <v>0</v>
      </c>
      <c r="M22" s="180">
        <f t="shared" si="5"/>
        <v>0</v>
      </c>
      <c r="N22" s="180"/>
      <c r="O22" s="180"/>
      <c r="P22" s="313" t="s">
        <v>175</v>
      </c>
      <c r="Q22" s="187">
        <f t="shared" si="2"/>
        <v>0</v>
      </c>
      <c r="R22"/>
      <c r="S22"/>
    </row>
    <row r="23" spans="2:21" s="160" customFormat="1" x14ac:dyDescent="0.3">
      <c r="B23" s="182" t="s">
        <v>176</v>
      </c>
      <c r="C23" s="183" t="s">
        <v>177</v>
      </c>
      <c r="D23" s="184"/>
      <c r="E23" s="177"/>
      <c r="F23" s="178">
        <f t="shared" ref="F23:O23" si="6">SUM(F24:F31)</f>
        <v>1765000</v>
      </c>
      <c r="G23" s="178">
        <f t="shared" si="6"/>
        <v>765000</v>
      </c>
      <c r="H23" s="178">
        <f t="shared" si="6"/>
        <v>1765000</v>
      </c>
      <c r="I23" s="178">
        <f t="shared" si="6"/>
        <v>765000</v>
      </c>
      <c r="J23" s="178">
        <f t="shared" si="6"/>
        <v>1765000</v>
      </c>
      <c r="K23" s="178">
        <f t="shared" si="6"/>
        <v>765000</v>
      </c>
      <c r="L23" s="178">
        <f t="shared" si="6"/>
        <v>1765000</v>
      </c>
      <c r="M23" s="178">
        <f t="shared" si="6"/>
        <v>765000</v>
      </c>
      <c r="N23" s="178">
        <f t="shared" si="6"/>
        <v>1765000</v>
      </c>
      <c r="O23" s="178">
        <f t="shared" si="6"/>
        <v>765000</v>
      </c>
      <c r="P23" s="185"/>
      <c r="Q23" s="187">
        <f t="shared" si="2"/>
        <v>74130000</v>
      </c>
      <c r="R23"/>
      <c r="S23"/>
    </row>
    <row r="24" spans="2:21" s="160" customFormat="1" ht="14.55" customHeight="1" x14ac:dyDescent="0.3">
      <c r="B24" s="165">
        <v>1</v>
      </c>
      <c r="C24" s="166" t="s">
        <v>178</v>
      </c>
      <c r="D24" s="167"/>
      <c r="E24" s="173"/>
      <c r="F24" s="169">
        <v>60000</v>
      </c>
      <c r="G24" s="169">
        <v>60000</v>
      </c>
      <c r="H24" s="169">
        <v>60000</v>
      </c>
      <c r="I24" s="169">
        <v>60000</v>
      </c>
      <c r="J24" s="169">
        <v>60000</v>
      </c>
      <c r="K24" s="169">
        <v>60000</v>
      </c>
      <c r="L24" s="169">
        <v>60000</v>
      </c>
      <c r="M24" s="169">
        <v>60000</v>
      </c>
      <c r="N24" s="169">
        <v>60000</v>
      </c>
      <c r="O24" s="169">
        <v>60000</v>
      </c>
      <c r="P24" s="186" t="s">
        <v>520</v>
      </c>
      <c r="Q24" s="187">
        <f t="shared" si="2"/>
        <v>2520000</v>
      </c>
      <c r="R24"/>
      <c r="S24"/>
    </row>
    <row r="25" spans="2:21" s="160" customFormat="1" x14ac:dyDescent="0.3">
      <c r="B25" s="85">
        <v>2</v>
      </c>
      <c r="C25" s="166" t="s">
        <v>179</v>
      </c>
      <c r="D25" s="167"/>
      <c r="E25" s="173"/>
      <c r="F25" s="181">
        <v>135000</v>
      </c>
      <c r="G25" s="181">
        <v>135000</v>
      </c>
      <c r="H25" s="181">
        <v>135000</v>
      </c>
      <c r="I25" s="181">
        <v>135000</v>
      </c>
      <c r="J25" s="181">
        <v>135000</v>
      </c>
      <c r="K25" s="188">
        <v>135000</v>
      </c>
      <c r="L25" s="181">
        <v>135000</v>
      </c>
      <c r="M25" s="188">
        <v>135000</v>
      </c>
      <c r="N25" s="188">
        <v>135000</v>
      </c>
      <c r="O25" s="188">
        <v>135000</v>
      </c>
      <c r="P25" s="186" t="s">
        <v>180</v>
      </c>
      <c r="Q25" s="187">
        <f t="shared" si="2"/>
        <v>5670000</v>
      </c>
      <c r="R25" s="189"/>
      <c r="S25" s="190"/>
    </row>
    <row r="26" spans="2:21" s="160" customFormat="1" x14ac:dyDescent="0.3">
      <c r="B26" s="165">
        <v>3</v>
      </c>
      <c r="C26" s="166" t="s">
        <v>181</v>
      </c>
      <c r="D26" s="167"/>
      <c r="E26" s="173"/>
      <c r="F26" s="169">
        <v>70000</v>
      </c>
      <c r="G26" s="169">
        <v>70000</v>
      </c>
      <c r="H26" s="169">
        <v>70000</v>
      </c>
      <c r="I26" s="169">
        <v>70000</v>
      </c>
      <c r="J26" s="169">
        <v>70000</v>
      </c>
      <c r="K26" s="180">
        <v>70000</v>
      </c>
      <c r="L26" s="169">
        <v>70000</v>
      </c>
      <c r="M26" s="180">
        <v>70000</v>
      </c>
      <c r="N26" s="180">
        <v>70000</v>
      </c>
      <c r="O26" s="180">
        <v>70000</v>
      </c>
      <c r="P26" s="186" t="s">
        <v>182</v>
      </c>
      <c r="Q26" s="187">
        <f t="shared" si="2"/>
        <v>2940000</v>
      </c>
      <c r="R26" s="189"/>
      <c r="S26" s="190"/>
    </row>
    <row r="27" spans="2:21" s="160" customFormat="1" x14ac:dyDescent="0.3">
      <c r="B27" s="85">
        <v>4</v>
      </c>
      <c r="C27" s="166" t="s">
        <v>183</v>
      </c>
      <c r="D27" s="167"/>
      <c r="E27" s="173"/>
      <c r="F27" s="169">
        <v>0</v>
      </c>
      <c r="G27" s="169">
        <v>0</v>
      </c>
      <c r="H27" s="169">
        <v>0</v>
      </c>
      <c r="I27" s="169">
        <v>0</v>
      </c>
      <c r="J27" s="169">
        <v>0</v>
      </c>
      <c r="K27" s="169">
        <v>0</v>
      </c>
      <c r="L27" s="169">
        <v>0</v>
      </c>
      <c r="M27" s="169">
        <v>0</v>
      </c>
      <c r="N27" s="169">
        <v>0</v>
      </c>
      <c r="O27" s="169">
        <v>0</v>
      </c>
      <c r="P27" s="186" t="s">
        <v>184</v>
      </c>
      <c r="Q27" s="187">
        <f t="shared" si="2"/>
        <v>0</v>
      </c>
      <c r="R27" s="189"/>
      <c r="S27" s="190"/>
    </row>
    <row r="28" spans="2:21" s="197" customFormat="1" ht="14.55" customHeight="1" x14ac:dyDescent="0.3">
      <c r="B28" s="191">
        <v>5</v>
      </c>
      <c r="C28" s="192" t="s">
        <v>185</v>
      </c>
      <c r="D28" s="193"/>
      <c r="E28" s="194"/>
      <c r="F28" s="195">
        <v>0</v>
      </c>
      <c r="G28" s="195">
        <v>0</v>
      </c>
      <c r="H28" s="195">
        <v>0</v>
      </c>
      <c r="I28" s="195">
        <v>0</v>
      </c>
      <c r="J28" s="195">
        <v>0</v>
      </c>
      <c r="K28" s="195">
        <v>0</v>
      </c>
      <c r="L28" s="195">
        <v>0</v>
      </c>
      <c r="M28" s="195">
        <v>0</v>
      </c>
      <c r="N28" s="195">
        <v>0</v>
      </c>
      <c r="O28" s="195">
        <v>0</v>
      </c>
      <c r="P28" s="196" t="s">
        <v>522</v>
      </c>
      <c r="Q28" s="187">
        <f t="shared" si="2"/>
        <v>0</v>
      </c>
      <c r="R28" s="198"/>
      <c r="S28" s="199"/>
      <c r="T28" s="200"/>
    </row>
    <row r="29" spans="2:21" s="160" customFormat="1" x14ac:dyDescent="0.3">
      <c r="B29" s="85">
        <v>6</v>
      </c>
      <c r="C29" s="166" t="s">
        <v>186</v>
      </c>
      <c r="D29" s="167"/>
      <c r="E29" s="173"/>
      <c r="F29" s="201">
        <v>0</v>
      </c>
      <c r="G29" s="201">
        <v>0</v>
      </c>
      <c r="H29" s="201">
        <v>0</v>
      </c>
      <c r="I29" s="201">
        <v>0</v>
      </c>
      <c r="J29" s="201">
        <v>0</v>
      </c>
      <c r="K29" s="201">
        <v>0</v>
      </c>
      <c r="L29" s="201">
        <v>0</v>
      </c>
      <c r="M29" s="201">
        <v>0</v>
      </c>
      <c r="N29" s="201">
        <v>0</v>
      </c>
      <c r="O29" s="201">
        <v>0</v>
      </c>
      <c r="P29" s="313" t="s">
        <v>175</v>
      </c>
      <c r="Q29" s="187">
        <f t="shared" si="2"/>
        <v>0</v>
      </c>
      <c r="R29"/>
      <c r="S29"/>
    </row>
    <row r="30" spans="2:21" s="160" customFormat="1" x14ac:dyDescent="0.3">
      <c r="B30" s="165">
        <v>7</v>
      </c>
      <c r="C30" s="166" t="s">
        <v>187</v>
      </c>
      <c r="D30" s="167"/>
      <c r="E30" s="173"/>
      <c r="F30" s="181">
        <v>1000000</v>
      </c>
      <c r="G30" s="181"/>
      <c r="H30" s="181">
        <v>1000000</v>
      </c>
      <c r="I30" s="181"/>
      <c r="J30" s="181">
        <v>1000000</v>
      </c>
      <c r="K30" s="181"/>
      <c r="L30" s="181">
        <v>1000000</v>
      </c>
      <c r="M30" s="181"/>
      <c r="N30" s="181">
        <v>1000000</v>
      </c>
      <c r="O30" s="181"/>
      <c r="P30" s="202"/>
      <c r="Q30" s="187">
        <f t="shared" si="2"/>
        <v>42000000</v>
      </c>
      <c r="R30"/>
      <c r="S30"/>
    </row>
    <row r="31" spans="2:21" s="160" customFormat="1" x14ac:dyDescent="0.3">
      <c r="B31" s="85">
        <v>8</v>
      </c>
      <c r="C31" s="166" t="s">
        <v>188</v>
      </c>
      <c r="D31" s="167"/>
      <c r="E31" s="173"/>
      <c r="F31" s="169">
        <f>SUM(F32:F35)</f>
        <v>500000</v>
      </c>
      <c r="G31" s="169">
        <f t="shared" ref="G31:M31" si="7">SUM(G32:G35)</f>
        <v>500000</v>
      </c>
      <c r="H31" s="169">
        <f t="shared" si="7"/>
        <v>500000</v>
      </c>
      <c r="I31" s="169">
        <f t="shared" si="7"/>
        <v>500000</v>
      </c>
      <c r="J31" s="169">
        <f t="shared" si="7"/>
        <v>500000</v>
      </c>
      <c r="K31" s="169">
        <f t="shared" si="7"/>
        <v>500000</v>
      </c>
      <c r="L31" s="169">
        <f t="shared" si="7"/>
        <v>500000</v>
      </c>
      <c r="M31" s="169">
        <f t="shared" si="7"/>
        <v>500000</v>
      </c>
      <c r="N31" s="169">
        <f t="shared" ref="N31:O31" si="8">SUM(N32:N35)</f>
        <v>500000</v>
      </c>
      <c r="O31" s="169">
        <f t="shared" si="8"/>
        <v>500000</v>
      </c>
      <c r="P31" s="202"/>
      <c r="Q31" s="187">
        <f t="shared" si="2"/>
        <v>21000000</v>
      </c>
      <c r="R31" s="172"/>
      <c r="S31" s="203"/>
    </row>
    <row r="32" spans="2:21" s="160" customFormat="1" hidden="1" x14ac:dyDescent="0.3">
      <c r="B32" s="84"/>
      <c r="C32" s="204" t="s">
        <v>189</v>
      </c>
      <c r="D32" s="167"/>
      <c r="E32" s="173"/>
      <c r="F32" s="221">
        <v>155000</v>
      </c>
      <c r="G32" s="221">
        <v>155000</v>
      </c>
      <c r="H32" s="221">
        <v>155000</v>
      </c>
      <c r="I32" s="221">
        <v>155000</v>
      </c>
      <c r="J32" s="221">
        <v>155000</v>
      </c>
      <c r="K32" s="221">
        <v>155000</v>
      </c>
      <c r="L32" s="221">
        <v>155000</v>
      </c>
      <c r="M32" s="221">
        <v>155000</v>
      </c>
      <c r="N32" s="221">
        <v>155000</v>
      </c>
      <c r="O32" s="221">
        <v>155000</v>
      </c>
      <c r="P32" s="202"/>
      <c r="Q32" s="187">
        <f t="shared" si="2"/>
        <v>6510000</v>
      </c>
      <c r="R32" s="172"/>
      <c r="S32" s="203"/>
    </row>
    <row r="33" spans="2:19" s="160" customFormat="1" hidden="1" x14ac:dyDescent="0.3">
      <c r="B33" s="84"/>
      <c r="C33" s="204" t="s">
        <v>190</v>
      </c>
      <c r="D33" s="167"/>
      <c r="E33" s="173"/>
      <c r="F33" s="221">
        <v>50000</v>
      </c>
      <c r="G33" s="221">
        <v>50000</v>
      </c>
      <c r="H33" s="221">
        <v>50000</v>
      </c>
      <c r="I33" s="221">
        <v>50000</v>
      </c>
      <c r="J33" s="221">
        <v>50000</v>
      </c>
      <c r="K33" s="221">
        <v>50000</v>
      </c>
      <c r="L33" s="221">
        <v>50000</v>
      </c>
      <c r="M33" s="221">
        <v>50000</v>
      </c>
      <c r="N33" s="221">
        <v>50000</v>
      </c>
      <c r="O33" s="221">
        <v>50000</v>
      </c>
      <c r="P33" s="202"/>
      <c r="Q33" s="187">
        <f t="shared" si="2"/>
        <v>2100000</v>
      </c>
      <c r="R33" s="172"/>
      <c r="S33" s="203"/>
    </row>
    <row r="34" spans="2:19" s="160" customFormat="1" hidden="1" x14ac:dyDescent="0.3">
      <c r="B34" s="84"/>
      <c r="C34" s="204" t="s">
        <v>191</v>
      </c>
      <c r="D34" s="167"/>
      <c r="E34" s="173"/>
      <c r="F34" s="221">
        <v>45000</v>
      </c>
      <c r="G34" s="221">
        <v>45000</v>
      </c>
      <c r="H34" s="221">
        <v>45000</v>
      </c>
      <c r="I34" s="221">
        <v>45000</v>
      </c>
      <c r="J34" s="221">
        <v>45000</v>
      </c>
      <c r="K34" s="221">
        <v>45000</v>
      </c>
      <c r="L34" s="221">
        <v>45000</v>
      </c>
      <c r="M34" s="221">
        <v>45000</v>
      </c>
      <c r="N34" s="221">
        <v>45000</v>
      </c>
      <c r="O34" s="221">
        <v>45000</v>
      </c>
      <c r="P34" s="202"/>
      <c r="Q34" s="187">
        <f t="shared" si="2"/>
        <v>1890000</v>
      </c>
      <c r="R34" s="172"/>
      <c r="S34" s="203"/>
    </row>
    <row r="35" spans="2:19" s="160" customFormat="1" hidden="1" x14ac:dyDescent="0.3">
      <c r="B35" s="84"/>
      <c r="C35" s="204" t="s">
        <v>192</v>
      </c>
      <c r="D35" s="167"/>
      <c r="E35" s="173"/>
      <c r="F35" s="221">
        <v>250000</v>
      </c>
      <c r="G35" s="221">
        <v>250000</v>
      </c>
      <c r="H35" s="221">
        <v>250000</v>
      </c>
      <c r="I35" s="221">
        <v>250000</v>
      </c>
      <c r="J35" s="221">
        <v>250000</v>
      </c>
      <c r="K35" s="221">
        <v>250000</v>
      </c>
      <c r="L35" s="221">
        <v>250000</v>
      </c>
      <c r="M35" s="221">
        <v>250000</v>
      </c>
      <c r="N35" s="221">
        <v>250000</v>
      </c>
      <c r="O35" s="221">
        <v>250000</v>
      </c>
      <c r="P35" s="202"/>
      <c r="Q35" s="187">
        <f t="shared" si="2"/>
        <v>10500000</v>
      </c>
      <c r="R35" s="172"/>
      <c r="S35" s="203"/>
    </row>
    <row r="36" spans="2:19" s="160" customFormat="1" x14ac:dyDescent="0.3">
      <c r="B36" s="205"/>
      <c r="C36" s="206" t="s">
        <v>193</v>
      </c>
      <c r="D36" s="95"/>
      <c r="E36" s="207"/>
      <c r="F36" s="208">
        <f t="shared" ref="F36:M36" si="9">F14+F19+F23</f>
        <v>8614685.8080000002</v>
      </c>
      <c r="G36" s="208">
        <f t="shared" si="9"/>
        <v>7614685.8080000002</v>
      </c>
      <c r="H36" s="208">
        <f t="shared" si="9"/>
        <v>8614685.8080000002</v>
      </c>
      <c r="I36" s="208">
        <f t="shared" si="9"/>
        <v>7614685.8080000002</v>
      </c>
      <c r="J36" s="208">
        <f t="shared" si="9"/>
        <v>8614685.8080000002</v>
      </c>
      <c r="K36" s="208">
        <f t="shared" si="9"/>
        <v>7614685.8080000002</v>
      </c>
      <c r="L36" s="208">
        <f t="shared" si="9"/>
        <v>8614685.8080000002</v>
      </c>
      <c r="M36" s="208">
        <f t="shared" si="9"/>
        <v>7614685.8080000002</v>
      </c>
      <c r="N36" s="208">
        <f t="shared" ref="N36:O36" si="10">N14+N19+N23</f>
        <v>8614685.8080000002</v>
      </c>
      <c r="O36" s="208">
        <f t="shared" si="10"/>
        <v>7614685.8080000002</v>
      </c>
      <c r="P36" s="209"/>
      <c r="Q36" s="187">
        <f t="shared" si="2"/>
        <v>361816803.93599999</v>
      </c>
    </row>
    <row r="37" spans="2:19" s="160" customFormat="1" x14ac:dyDescent="0.3">
      <c r="B37" s="210"/>
      <c r="C37" s="211" t="s">
        <v>194</v>
      </c>
      <c r="D37" s="212"/>
      <c r="E37" s="213">
        <v>7.0000000000000007E-2</v>
      </c>
      <c r="F37" s="171">
        <f t="shared" ref="F37:M37" si="11">F36*$E$37</f>
        <v>603028.00656000013</v>
      </c>
      <c r="G37" s="171">
        <f t="shared" si="11"/>
        <v>533028.00656000001</v>
      </c>
      <c r="H37" s="171">
        <f t="shared" si="11"/>
        <v>603028.00656000013</v>
      </c>
      <c r="I37" s="171">
        <f t="shared" si="11"/>
        <v>533028.00656000001</v>
      </c>
      <c r="J37" s="171">
        <f t="shared" si="11"/>
        <v>603028.00656000013</v>
      </c>
      <c r="K37" s="171">
        <f t="shared" si="11"/>
        <v>533028.00656000001</v>
      </c>
      <c r="L37" s="171">
        <f t="shared" si="11"/>
        <v>603028.00656000013</v>
      </c>
      <c r="M37" s="171">
        <f t="shared" si="11"/>
        <v>533028.00656000001</v>
      </c>
      <c r="N37" s="171">
        <f>N36*$E$37</f>
        <v>603028.00656000013</v>
      </c>
      <c r="O37" s="171">
        <f t="shared" ref="O37" si="12">O36*$E$37</f>
        <v>533028.00656000001</v>
      </c>
      <c r="P37" s="186"/>
      <c r="Q37" s="187">
        <f t="shared" si="2"/>
        <v>25327176.275520004</v>
      </c>
    </row>
    <row r="38" spans="2:19" s="160" customFormat="1" x14ac:dyDescent="0.3">
      <c r="B38" s="214"/>
      <c r="C38" s="206" t="s">
        <v>31</v>
      </c>
      <c r="D38" s="177"/>
      <c r="E38" s="215"/>
      <c r="F38" s="178">
        <f t="shared" ref="F38:M38" si="13">F36+F37</f>
        <v>9217713.8145599999</v>
      </c>
      <c r="G38" s="178">
        <f t="shared" si="13"/>
        <v>8147713.8145599999</v>
      </c>
      <c r="H38" s="178">
        <f t="shared" si="13"/>
        <v>9217713.8145599999</v>
      </c>
      <c r="I38" s="178">
        <f t="shared" si="13"/>
        <v>8147713.8145599999</v>
      </c>
      <c r="J38" s="178">
        <f t="shared" si="13"/>
        <v>9217713.8145599999</v>
      </c>
      <c r="K38" s="178">
        <f t="shared" si="13"/>
        <v>8147713.8145599999</v>
      </c>
      <c r="L38" s="178">
        <f t="shared" si="13"/>
        <v>9217713.8145599999</v>
      </c>
      <c r="M38" s="178">
        <f t="shared" si="13"/>
        <v>8147713.8145599999</v>
      </c>
      <c r="N38" s="178">
        <f t="shared" ref="N38:O38" si="14">N36+N37</f>
        <v>9217713.8145599999</v>
      </c>
      <c r="O38" s="178">
        <f t="shared" si="14"/>
        <v>8147713.8145599999</v>
      </c>
      <c r="P38" s="216"/>
      <c r="Q38" s="187">
        <f t="shared" si="2"/>
        <v>387143980.21152002</v>
      </c>
    </row>
    <row r="39" spans="2:19" s="160" customFormat="1" x14ac:dyDescent="0.3">
      <c r="B39" s="214"/>
      <c r="C39" s="183" t="s">
        <v>39</v>
      </c>
      <c r="D39" s="207"/>
      <c r="E39" s="207"/>
      <c r="F39" s="217">
        <f t="shared" ref="F39:M39" si="15">ROUNDUP(F38,-2)</f>
        <v>9217800</v>
      </c>
      <c r="G39" s="217">
        <f t="shared" si="15"/>
        <v>8147800</v>
      </c>
      <c r="H39" s="217">
        <f t="shared" si="15"/>
        <v>9217800</v>
      </c>
      <c r="I39" s="217">
        <f t="shared" si="15"/>
        <v>8147800</v>
      </c>
      <c r="J39" s="217">
        <f t="shared" si="15"/>
        <v>9217800</v>
      </c>
      <c r="K39" s="217">
        <f t="shared" si="15"/>
        <v>8147800</v>
      </c>
      <c r="L39" s="217">
        <f t="shared" si="15"/>
        <v>9217800</v>
      </c>
      <c r="M39" s="217">
        <f t="shared" si="15"/>
        <v>8147800</v>
      </c>
      <c r="N39" s="217">
        <f t="shared" ref="N39:O39" si="16">ROUNDUP(N38,-2)</f>
        <v>9217800</v>
      </c>
      <c r="O39" s="217">
        <f t="shared" si="16"/>
        <v>8147800</v>
      </c>
      <c r="P39" s="209"/>
      <c r="Q39" s="187">
        <f t="shared" si="2"/>
        <v>387147600</v>
      </c>
    </row>
    <row r="40" spans="2:19" s="160" customFormat="1" x14ac:dyDescent="0.3">
      <c r="B40" s="218"/>
      <c r="C40" s="219"/>
      <c r="D40" s="218"/>
      <c r="E40" s="218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18"/>
    </row>
    <row r="41" spans="2:19" x14ac:dyDescent="0.3">
      <c r="B41" s="10"/>
      <c r="C41" s="541" t="s">
        <v>195</v>
      </c>
      <c r="D41" s="542"/>
      <c r="E41" s="542"/>
      <c r="F41" s="11">
        <v>2</v>
      </c>
      <c r="G41" s="11">
        <v>11</v>
      </c>
      <c r="H41" s="11">
        <v>2</v>
      </c>
      <c r="I41" s="11">
        <v>10</v>
      </c>
      <c r="J41" s="11">
        <v>1</v>
      </c>
      <c r="K41" s="11">
        <v>2</v>
      </c>
      <c r="L41" s="11">
        <v>1</v>
      </c>
      <c r="M41" s="11">
        <v>1</v>
      </c>
      <c r="N41" s="11">
        <v>2</v>
      </c>
      <c r="O41" s="11">
        <v>10</v>
      </c>
      <c r="P41" s="12">
        <f>SUM(F41:O41)-4</f>
        <v>38</v>
      </c>
    </row>
    <row r="42" spans="2:19" x14ac:dyDescent="0.3">
      <c r="B42" s="10"/>
      <c r="C42" s="541" t="s">
        <v>196</v>
      </c>
      <c r="D42" s="542"/>
      <c r="E42" s="542"/>
      <c r="F42" s="13">
        <f t="shared" ref="F42:M42" si="17">F39*F41</f>
        <v>18435600</v>
      </c>
      <c r="G42" s="13">
        <f t="shared" si="17"/>
        <v>89625800</v>
      </c>
      <c r="H42" s="13">
        <f t="shared" si="17"/>
        <v>18435600</v>
      </c>
      <c r="I42" s="13">
        <f t="shared" si="17"/>
        <v>81478000</v>
      </c>
      <c r="J42" s="13">
        <f t="shared" si="17"/>
        <v>9217800</v>
      </c>
      <c r="K42" s="13">
        <f t="shared" si="17"/>
        <v>16295600</v>
      </c>
      <c r="L42" s="13">
        <f t="shared" si="17"/>
        <v>9217800</v>
      </c>
      <c r="M42" s="13">
        <f t="shared" si="17"/>
        <v>8147800</v>
      </c>
      <c r="N42" s="13">
        <f t="shared" ref="N42:O42" si="18">N39*N41</f>
        <v>18435600</v>
      </c>
      <c r="O42" s="13">
        <f t="shared" si="18"/>
        <v>81478000</v>
      </c>
      <c r="P42" s="12">
        <f>SUM(F42:O42)</f>
        <v>350767600</v>
      </c>
      <c r="R42" s="6"/>
    </row>
    <row r="43" spans="2:19" x14ac:dyDescent="0.3">
      <c r="C43" s="7"/>
      <c r="D43" s="7"/>
      <c r="E43" s="7"/>
      <c r="F43" s="7"/>
      <c r="G43" s="7"/>
      <c r="H43" s="7"/>
      <c r="I43" s="7">
        <v>8</v>
      </c>
      <c r="J43" s="7"/>
      <c r="K43" s="7"/>
      <c r="L43" s="7"/>
      <c r="M43" s="7"/>
      <c r="N43" s="7"/>
      <c r="O43" s="7"/>
      <c r="P43" s="4"/>
      <c r="R43" s="6"/>
    </row>
    <row r="44" spans="2:19" x14ac:dyDescent="0.3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4"/>
      <c r="R44" s="6"/>
    </row>
    <row r="45" spans="2:19" x14ac:dyDescent="0.3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4"/>
      <c r="R45" s="6"/>
    </row>
    <row r="46" spans="2:19" x14ac:dyDescent="0.3">
      <c r="C46" s="5"/>
      <c r="R46" s="6"/>
    </row>
    <row r="47" spans="2:19" ht="14.7" customHeight="1" x14ac:dyDescent="0.3">
      <c r="B47" s="540" t="s">
        <v>18</v>
      </c>
      <c r="C47" s="540"/>
      <c r="D47" s="540"/>
      <c r="E47" s="540"/>
      <c r="P47" s="28" t="s">
        <v>143</v>
      </c>
    </row>
    <row r="48" spans="2:19" ht="14.7" customHeight="1" x14ac:dyDescent="0.3">
      <c r="B48" s="539" t="str">
        <f>'Covering Letter '!B43</f>
        <v>PT Mitra Bakti UT</v>
      </c>
      <c r="C48" s="539"/>
      <c r="D48" s="539"/>
      <c r="E48" s="539"/>
      <c r="F48" s="3"/>
      <c r="G48" s="3"/>
      <c r="H48" s="3"/>
      <c r="I48" s="3"/>
      <c r="J48" s="3"/>
      <c r="K48" s="3"/>
      <c r="L48" s="3"/>
      <c r="M48" s="3"/>
      <c r="N48" s="3"/>
      <c r="O48" s="3"/>
      <c r="P48" s="14" t="str">
        <f>'Covering Letter '!B10</f>
        <v>PT United Tractors Tbk</v>
      </c>
    </row>
    <row r="49" spans="2:17" x14ac:dyDescent="0.3">
      <c r="P49" s="28"/>
    </row>
    <row r="50" spans="2:17" x14ac:dyDescent="0.3">
      <c r="P50" s="28"/>
    </row>
    <row r="51" spans="2:17" x14ac:dyDescent="0.3">
      <c r="P51" s="28"/>
    </row>
    <row r="52" spans="2:17" x14ac:dyDescent="0.3">
      <c r="P52" s="28"/>
    </row>
    <row r="53" spans="2:17" x14ac:dyDescent="0.3">
      <c r="P53" s="28"/>
    </row>
    <row r="54" spans="2:17" ht="14.7" customHeight="1" x14ac:dyDescent="0.3">
      <c r="B54" s="553" t="str">
        <f>'Covering Letter '!B48</f>
        <v>Sandy Yudha S</v>
      </c>
      <c r="C54" s="553"/>
      <c r="D54" s="553"/>
      <c r="E54" s="553"/>
      <c r="P54" s="29" t="str">
        <f>RIGHT('Covering Letter '!D15,18)</f>
        <v>Sara Kirsti Loebis</v>
      </c>
    </row>
    <row r="55" spans="2:17" ht="14.7" customHeight="1" x14ac:dyDescent="0.3">
      <c r="B55" s="554" t="s">
        <v>21</v>
      </c>
      <c r="C55" s="554"/>
      <c r="D55" s="554"/>
      <c r="E55" s="554"/>
      <c r="P55" s="30" t="str">
        <f>'Covering Letter '!D16</f>
        <v>Corporate Governance &amp; Sustainability Division Head</v>
      </c>
    </row>
    <row r="59" spans="2:17" x14ac:dyDescent="0.3">
      <c r="I59" s="2" t="s">
        <v>537</v>
      </c>
      <c r="J59" s="401">
        <v>89669600</v>
      </c>
    </row>
    <row r="60" spans="2:17" x14ac:dyDescent="0.3">
      <c r="I60" s="2" t="s">
        <v>536</v>
      </c>
      <c r="J60" s="4">
        <f>J42+K42</f>
        <v>25513400</v>
      </c>
    </row>
    <row r="61" spans="2:17" x14ac:dyDescent="0.3">
      <c r="I61" s="2" t="s">
        <v>538</v>
      </c>
      <c r="J61" s="401">
        <v>9500000</v>
      </c>
    </row>
    <row r="63" spans="2:17" x14ac:dyDescent="0.3">
      <c r="E63" s="2" t="s">
        <v>596</v>
      </c>
      <c r="F63" s="4">
        <f>F31*F41</f>
        <v>1000000</v>
      </c>
      <c r="G63" s="4">
        <f t="shared" ref="G63:O63" si="19">G31*G41</f>
        <v>5500000</v>
      </c>
      <c r="H63" s="4">
        <f t="shared" si="19"/>
        <v>1000000</v>
      </c>
      <c r="I63" s="4">
        <f t="shared" si="19"/>
        <v>5000000</v>
      </c>
      <c r="J63" s="4">
        <f t="shared" si="19"/>
        <v>500000</v>
      </c>
      <c r="K63" s="4">
        <f t="shared" si="19"/>
        <v>1000000</v>
      </c>
      <c r="L63" s="4">
        <f t="shared" si="19"/>
        <v>500000</v>
      </c>
      <c r="M63" s="4">
        <f t="shared" si="19"/>
        <v>500000</v>
      </c>
      <c r="N63" s="4">
        <f t="shared" si="19"/>
        <v>1000000</v>
      </c>
      <c r="O63" s="4">
        <f t="shared" si="19"/>
        <v>5000000</v>
      </c>
      <c r="P63" s="4">
        <f>SUM(F63:O63)</f>
        <v>21000000</v>
      </c>
    </row>
    <row r="64" spans="2:17" x14ac:dyDescent="0.3">
      <c r="E64" s="2" t="s">
        <v>597</v>
      </c>
      <c r="F64" s="4">
        <f>F37*F41</f>
        <v>1206056.0131200003</v>
      </c>
      <c r="G64" s="4">
        <f t="shared" ref="G64:O64" si="20">G37*G41</f>
        <v>5863308.07216</v>
      </c>
      <c r="H64" s="4">
        <f t="shared" si="20"/>
        <v>1206056.0131200003</v>
      </c>
      <c r="I64" s="4">
        <f t="shared" si="20"/>
        <v>5330280.0656000003</v>
      </c>
      <c r="J64" s="4">
        <f t="shared" si="20"/>
        <v>603028.00656000013</v>
      </c>
      <c r="K64" s="4">
        <f t="shared" si="20"/>
        <v>1066056.01312</v>
      </c>
      <c r="L64" s="4">
        <f t="shared" si="20"/>
        <v>603028.00656000013</v>
      </c>
      <c r="M64" s="4">
        <f t="shared" si="20"/>
        <v>533028.00656000001</v>
      </c>
      <c r="N64" s="4">
        <f t="shared" si="20"/>
        <v>1206056.0131200003</v>
      </c>
      <c r="O64" s="4">
        <f t="shared" si="20"/>
        <v>5330280.0656000003</v>
      </c>
      <c r="P64" s="4">
        <f>SUM(F64:O64)</f>
        <v>22947176.275520001</v>
      </c>
      <c r="Q64" s="2">
        <v>22947176.275520001</v>
      </c>
    </row>
    <row r="65" spans="5:17" x14ac:dyDescent="0.3">
      <c r="P65" s="4">
        <f>SUM(P63:P64)</f>
        <v>43947176.275519997</v>
      </c>
      <c r="Q65" s="462">
        <f>P65/P42</f>
        <v>0.12528858502187773</v>
      </c>
    </row>
    <row r="66" spans="5:17" x14ac:dyDescent="0.3">
      <c r="P66" s="4">
        <f>P42-P65</f>
        <v>306820423.72448003</v>
      </c>
    </row>
    <row r="68" spans="5:17" x14ac:dyDescent="0.3">
      <c r="E68" s="2" t="s">
        <v>28</v>
      </c>
    </row>
    <row r="69" spans="5:17" x14ac:dyDescent="0.3">
      <c r="E69" s="166" t="s">
        <v>163</v>
      </c>
    </row>
    <row r="70" spans="5:17" x14ac:dyDescent="0.3">
      <c r="E70" s="166" t="s">
        <v>165</v>
      </c>
    </row>
    <row r="71" spans="5:17" x14ac:dyDescent="0.3">
      <c r="E71" s="2" t="s">
        <v>598</v>
      </c>
    </row>
  </sheetData>
  <mergeCells count="17">
    <mergeCell ref="B48:E48"/>
    <mergeCell ref="B54:E54"/>
    <mergeCell ref="N12:O12"/>
    <mergeCell ref="B55:E55"/>
    <mergeCell ref="B8:P8"/>
    <mergeCell ref="B9:P9"/>
    <mergeCell ref="B10:P10"/>
    <mergeCell ref="B47:E47"/>
    <mergeCell ref="C41:E41"/>
    <mergeCell ref="C42:E42"/>
    <mergeCell ref="C12:E13"/>
    <mergeCell ref="B12:B13"/>
    <mergeCell ref="P12:P13"/>
    <mergeCell ref="F12:G12"/>
    <mergeCell ref="H12:I12"/>
    <mergeCell ref="J12:K12"/>
    <mergeCell ref="L12:M12"/>
  </mergeCells>
  <pageMargins left="0.7" right="0.7" top="0.75" bottom="0.75" header="0.3" footer="0.3"/>
  <pageSetup paperSize="9" scale="5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E744-4AD7-4621-BB62-94CAE54DF636}">
  <dimension ref="A1:H13"/>
  <sheetViews>
    <sheetView showGridLines="0" zoomScale="90" zoomScaleNormal="90" workbookViewId="0">
      <selection activeCell="C23" sqref="C23"/>
    </sheetView>
  </sheetViews>
  <sheetFormatPr defaultRowHeight="14.4" x14ac:dyDescent="0.3"/>
  <cols>
    <col min="1" max="1" width="16.21875" customWidth="1"/>
    <col min="2" max="2" width="12.77734375" bestFit="1" customWidth="1"/>
    <col min="3" max="3" width="67" customWidth="1"/>
    <col min="4" max="4" width="10.44140625" style="230" bestFit="1" customWidth="1"/>
    <col min="5" max="5" width="13.21875" bestFit="1" customWidth="1"/>
    <col min="6" max="6" width="12.77734375" bestFit="1" customWidth="1"/>
    <col min="7" max="7" width="4.5546875" bestFit="1" customWidth="1"/>
    <col min="8" max="8" width="10.21875" customWidth="1"/>
    <col min="9" max="9" width="26.77734375" customWidth="1"/>
  </cols>
  <sheetData>
    <row r="1" spans="1:8" ht="18" x14ac:dyDescent="0.35">
      <c r="A1" s="45" t="s">
        <v>197</v>
      </c>
    </row>
    <row r="2" spans="1:8" x14ac:dyDescent="0.3">
      <c r="C2" s="353"/>
      <c r="D2" s="354"/>
      <c r="E2" s="353"/>
      <c r="F2" s="353"/>
      <c r="G2" s="353"/>
      <c r="H2" s="353"/>
    </row>
    <row r="3" spans="1:8" ht="28.8" x14ac:dyDescent="0.3">
      <c r="A3" s="352" t="s">
        <v>198</v>
      </c>
      <c r="B3" s="352" t="s">
        <v>199</v>
      </c>
      <c r="C3" s="352" t="s">
        <v>200</v>
      </c>
      <c r="D3" s="357" t="s">
        <v>201</v>
      </c>
      <c r="E3" s="365" t="s">
        <v>202</v>
      </c>
      <c r="F3" s="352" t="s">
        <v>203</v>
      </c>
    </row>
    <row r="4" spans="1:8" s="65" customFormat="1" x14ac:dyDescent="0.3">
      <c r="A4" s="557" t="s">
        <v>204</v>
      </c>
      <c r="B4" s="557" t="s">
        <v>205</v>
      </c>
      <c r="C4" s="359" t="s">
        <v>206</v>
      </c>
      <c r="D4" s="360">
        <v>7000000</v>
      </c>
      <c r="E4" s="361" t="s">
        <v>207</v>
      </c>
      <c r="F4" s="360">
        <f t="shared" ref="F4:F12" si="0">D4/36</f>
        <v>194444.44444444444</v>
      </c>
    </row>
    <row r="5" spans="1:8" s="125" customFormat="1" ht="28.8" x14ac:dyDescent="0.3">
      <c r="A5" s="557"/>
      <c r="B5" s="557"/>
      <c r="C5" s="362" t="s">
        <v>208</v>
      </c>
      <c r="D5" s="363">
        <v>7500000</v>
      </c>
      <c r="E5" s="361" t="s">
        <v>207</v>
      </c>
      <c r="F5" s="360">
        <f t="shared" si="0"/>
        <v>208333.33333333334</v>
      </c>
      <c r="G5" s="125" t="s">
        <v>209</v>
      </c>
    </row>
    <row r="6" spans="1:8" s="125" customFormat="1" x14ac:dyDescent="0.3">
      <c r="A6" s="362" t="s">
        <v>210</v>
      </c>
      <c r="B6" s="364" t="s">
        <v>205</v>
      </c>
      <c r="C6" s="359" t="s">
        <v>206</v>
      </c>
      <c r="D6" s="360">
        <v>7000000</v>
      </c>
      <c r="E6" s="361" t="s">
        <v>207</v>
      </c>
      <c r="F6" s="360">
        <f t="shared" si="0"/>
        <v>194444.44444444444</v>
      </c>
    </row>
    <row r="7" spans="1:8" s="125" customFormat="1" x14ac:dyDescent="0.3">
      <c r="A7" s="555" t="s">
        <v>204</v>
      </c>
      <c r="B7" s="555" t="s">
        <v>151</v>
      </c>
      <c r="C7" s="362" t="s">
        <v>211</v>
      </c>
      <c r="D7" s="363">
        <v>6500000</v>
      </c>
      <c r="E7" s="361" t="s">
        <v>207</v>
      </c>
      <c r="F7" s="360">
        <f t="shared" si="0"/>
        <v>180555.55555555556</v>
      </c>
    </row>
    <row r="8" spans="1:8" s="125" customFormat="1" ht="28.8" x14ac:dyDescent="0.3">
      <c r="A8" s="556"/>
      <c r="B8" s="556"/>
      <c r="C8" s="362" t="s">
        <v>208</v>
      </c>
      <c r="D8" s="363">
        <v>7500000</v>
      </c>
      <c r="E8" s="361" t="s">
        <v>207</v>
      </c>
      <c r="F8" s="360">
        <f t="shared" si="0"/>
        <v>208333.33333333334</v>
      </c>
      <c r="G8" s="125" t="s">
        <v>209</v>
      </c>
    </row>
    <row r="9" spans="1:8" s="125" customFormat="1" x14ac:dyDescent="0.3">
      <c r="A9" s="362" t="s">
        <v>210</v>
      </c>
      <c r="B9" s="362" t="s">
        <v>151</v>
      </c>
      <c r="C9" s="362" t="s">
        <v>212</v>
      </c>
      <c r="D9" s="363">
        <v>6500000</v>
      </c>
      <c r="E9" s="361" t="s">
        <v>207</v>
      </c>
      <c r="F9" s="360">
        <f t="shared" si="0"/>
        <v>180555.55555555556</v>
      </c>
    </row>
    <row r="10" spans="1:8" s="125" customFormat="1" x14ac:dyDescent="0.3">
      <c r="A10" s="362" t="s">
        <v>204</v>
      </c>
      <c r="B10" s="362" t="s">
        <v>34</v>
      </c>
      <c r="C10" s="362" t="s">
        <v>213</v>
      </c>
      <c r="D10" s="363">
        <v>6500000</v>
      </c>
      <c r="E10" s="361" t="s">
        <v>207</v>
      </c>
      <c r="F10" s="360">
        <f t="shared" si="0"/>
        <v>180555.55555555556</v>
      </c>
    </row>
    <row r="11" spans="1:8" s="125" customFormat="1" x14ac:dyDescent="0.3">
      <c r="A11" s="362" t="s">
        <v>210</v>
      </c>
      <c r="B11" s="362" t="s">
        <v>34</v>
      </c>
      <c r="C11" s="362" t="s">
        <v>213</v>
      </c>
      <c r="D11" s="363">
        <v>6500000</v>
      </c>
      <c r="E11" s="361" t="s">
        <v>207</v>
      </c>
      <c r="F11" s="360">
        <f t="shared" si="0"/>
        <v>180555.55555555556</v>
      </c>
    </row>
    <row r="12" spans="1:8" s="355" customFormat="1" x14ac:dyDescent="0.3">
      <c r="A12" s="362" t="s">
        <v>214</v>
      </c>
      <c r="B12" s="358" t="s">
        <v>205</v>
      </c>
      <c r="C12" s="359" t="s">
        <v>206</v>
      </c>
      <c r="D12" s="360">
        <v>7000000</v>
      </c>
      <c r="E12" s="361" t="s">
        <v>207</v>
      </c>
      <c r="F12" s="360">
        <f t="shared" si="0"/>
        <v>194444.44444444444</v>
      </c>
    </row>
    <row r="13" spans="1:8" s="355" customFormat="1" x14ac:dyDescent="0.3">
      <c r="D13" s="356"/>
    </row>
  </sheetData>
  <mergeCells count="4">
    <mergeCell ref="A7:A8"/>
    <mergeCell ref="B7:B8"/>
    <mergeCell ref="A4:A5"/>
    <mergeCell ref="B4:B5"/>
  </mergeCells>
  <pageMargins left="0.7" right="0.7" top="0.75" bottom="0.75" header="0.3" footer="0.3"/>
  <pageSetup scale="69" orientation="portrait" horizontalDpi="360" verticalDpi="360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D4F3-48EE-49D3-90E0-B92D67D5FBA6}">
  <dimension ref="B1:J18"/>
  <sheetViews>
    <sheetView showGridLines="0" zoomScale="101" zoomScaleNormal="80" workbookViewId="0">
      <selection activeCell="J18" sqref="J18"/>
    </sheetView>
  </sheetViews>
  <sheetFormatPr defaultRowHeight="14.4" x14ac:dyDescent="0.3"/>
  <cols>
    <col min="1" max="1" width="2.77734375" customWidth="1"/>
    <col min="2" max="2" width="3.21875" bestFit="1" customWidth="1"/>
    <col min="3" max="3" width="16" bestFit="1" customWidth="1"/>
    <col min="4" max="4" width="36.77734375" bestFit="1" customWidth="1"/>
    <col min="5" max="5" width="15.21875" bestFit="1" customWidth="1"/>
    <col min="6" max="6" width="16.21875" bestFit="1" customWidth="1"/>
    <col min="7" max="7" width="14" bestFit="1" customWidth="1"/>
    <col min="8" max="8" width="14.77734375" customWidth="1"/>
    <col min="9" max="9" width="13.77734375" customWidth="1"/>
    <col min="10" max="10" width="14.77734375" customWidth="1"/>
  </cols>
  <sheetData>
    <row r="1" spans="2:10" ht="18" x14ac:dyDescent="0.35">
      <c r="B1" s="45" t="s">
        <v>215</v>
      </c>
      <c r="J1" s="64"/>
    </row>
    <row r="2" spans="2:10" ht="14.55" customHeight="1" x14ac:dyDescent="0.3">
      <c r="B2" s="566" t="s">
        <v>45</v>
      </c>
      <c r="C2" s="560" t="s">
        <v>216</v>
      </c>
      <c r="D2" s="560" t="s">
        <v>217</v>
      </c>
      <c r="E2" s="560" t="s">
        <v>218</v>
      </c>
      <c r="F2" s="560" t="s">
        <v>219</v>
      </c>
      <c r="G2" s="560" t="s">
        <v>49</v>
      </c>
      <c r="H2" s="558" t="s">
        <v>220</v>
      </c>
      <c r="I2" s="562" t="s">
        <v>221</v>
      </c>
      <c r="J2" s="564" t="s">
        <v>222</v>
      </c>
    </row>
    <row r="3" spans="2:10" x14ac:dyDescent="0.3">
      <c r="B3" s="567"/>
      <c r="C3" s="561"/>
      <c r="D3" s="561"/>
      <c r="E3" s="561"/>
      <c r="F3" s="561"/>
      <c r="G3" s="561"/>
      <c r="H3" s="559"/>
      <c r="I3" s="563"/>
      <c r="J3" s="565"/>
    </row>
    <row r="4" spans="2:10" x14ac:dyDescent="0.3">
      <c r="B4" s="324">
        <v>1</v>
      </c>
      <c r="C4" s="39" t="s">
        <v>34</v>
      </c>
      <c r="D4" s="39" t="s">
        <v>34</v>
      </c>
      <c r="E4" s="43" t="s">
        <v>223</v>
      </c>
      <c r="F4" s="41">
        <v>1</v>
      </c>
      <c r="G4" s="41" t="s">
        <v>224</v>
      </c>
      <c r="H4" s="42">
        <v>52492232.369642876</v>
      </c>
      <c r="I4" s="40">
        <f>F4*H4</f>
        <v>52492232.369642876</v>
      </c>
      <c r="J4" s="325">
        <f>I4*12</f>
        <v>629906788.43571448</v>
      </c>
    </row>
    <row r="5" spans="2:10" x14ac:dyDescent="0.3">
      <c r="B5" s="324">
        <v>2</v>
      </c>
      <c r="C5" s="39" t="s">
        <v>34</v>
      </c>
      <c r="D5" s="39" t="s">
        <v>225</v>
      </c>
      <c r="E5" s="43" t="s">
        <v>19</v>
      </c>
      <c r="F5" s="41">
        <v>1</v>
      </c>
      <c r="G5" s="41" t="s">
        <v>139</v>
      </c>
      <c r="H5" s="42">
        <v>8016999.9999999991</v>
      </c>
      <c r="I5" s="40">
        <f>F5*H5</f>
        <v>8016999.9999999991</v>
      </c>
      <c r="J5" s="325">
        <f>I5*12</f>
        <v>96203999.999999985</v>
      </c>
    </row>
    <row r="6" spans="2:10" s="44" customFormat="1" x14ac:dyDescent="0.3">
      <c r="B6" s="326"/>
      <c r="C6" s="327"/>
      <c r="D6" s="327"/>
      <c r="E6" s="328"/>
      <c r="F6" s="329"/>
      <c r="G6" s="329"/>
      <c r="H6" s="330">
        <f>SUM(H4:H5)</f>
        <v>60509232.369642876</v>
      </c>
      <c r="I6" s="330">
        <f>SUM(I4:I5)</f>
        <v>60509232.369642876</v>
      </c>
      <c r="J6" s="331">
        <f>SUM(J4:J5)</f>
        <v>726110788.43571448</v>
      </c>
    </row>
    <row r="8" spans="2:10" x14ac:dyDescent="0.3">
      <c r="G8" t="s">
        <v>539</v>
      </c>
      <c r="H8" s="102">
        <v>1105264500</v>
      </c>
    </row>
    <row r="9" spans="2:10" x14ac:dyDescent="0.3">
      <c r="G9" t="s">
        <v>537</v>
      </c>
      <c r="H9" s="102">
        <v>89669600</v>
      </c>
    </row>
    <row r="10" spans="2:10" x14ac:dyDescent="0.3">
      <c r="G10" t="s">
        <v>536</v>
      </c>
      <c r="H10" s="102">
        <v>26228600</v>
      </c>
      <c r="I10" s="402"/>
      <c r="J10" s="402"/>
    </row>
    <row r="11" spans="2:10" x14ac:dyDescent="0.3">
      <c r="E11" s="102"/>
      <c r="G11" t="s">
        <v>540</v>
      </c>
      <c r="H11" s="102">
        <v>35213750</v>
      </c>
      <c r="J11" s="102"/>
    </row>
    <row r="12" spans="2:10" x14ac:dyDescent="0.3">
      <c r="F12" s="402"/>
      <c r="G12" s="402" t="s">
        <v>541</v>
      </c>
      <c r="H12" s="102">
        <f>RECAP!E13</f>
        <v>88902242.857142881</v>
      </c>
      <c r="J12" s="402"/>
    </row>
    <row r="13" spans="2:10" x14ac:dyDescent="0.3">
      <c r="F13" s="402"/>
      <c r="G13" s="402" t="s">
        <v>542</v>
      </c>
      <c r="H13" s="102">
        <f>RECAP!R13+RECAP!S13</f>
        <v>27374000</v>
      </c>
      <c r="J13" s="402"/>
    </row>
    <row r="14" spans="2:10" x14ac:dyDescent="0.3">
      <c r="G14" s="402" t="s">
        <v>543</v>
      </c>
      <c r="H14" s="102">
        <f>RECAP!U13</f>
        <v>1019010.4875</v>
      </c>
    </row>
    <row r="15" spans="2:10" x14ac:dyDescent="0.3">
      <c r="E15" s="402"/>
      <c r="F15" s="402"/>
      <c r="G15" s="402" t="s">
        <v>215</v>
      </c>
      <c r="H15" s="402">
        <f>H11</f>
        <v>35213750</v>
      </c>
    </row>
    <row r="16" spans="2:10" x14ac:dyDescent="0.3">
      <c r="G16" s="402" t="s">
        <v>544</v>
      </c>
      <c r="H16" s="402">
        <v>6680833.333333333</v>
      </c>
    </row>
    <row r="17" spans="8:9" x14ac:dyDescent="0.3">
      <c r="H17" s="402">
        <f>H13+H14+H15+H16</f>
        <v>70287593.820833325</v>
      </c>
      <c r="I17" s="102">
        <v>71054950.963690504</v>
      </c>
    </row>
    <row r="18" spans="8:9" x14ac:dyDescent="0.3">
      <c r="H18" s="402">
        <f>H12-H17</f>
        <v>18614649.036309555</v>
      </c>
    </row>
  </sheetData>
  <mergeCells count="9">
    <mergeCell ref="H2:H3"/>
    <mergeCell ref="G2:G3"/>
    <mergeCell ref="I2:I3"/>
    <mergeCell ref="J2:J3"/>
    <mergeCell ref="B2:B3"/>
    <mergeCell ref="C2:C3"/>
    <mergeCell ref="D2:D3"/>
    <mergeCell ref="E2:E3"/>
    <mergeCell ref="F2:F3"/>
  </mergeCells>
  <pageMargins left="0.7" right="0.7" top="0.75" bottom="0.75" header="0.3" footer="0.3"/>
  <pageSetup scale="47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A8A8-B6DB-41AF-B544-74DE6F1301B9}">
  <dimension ref="B4:P158"/>
  <sheetViews>
    <sheetView showGridLines="0" view="pageBreakPreview" zoomScale="60" zoomScaleNormal="80" workbookViewId="0">
      <selection activeCell="R33" sqref="R33"/>
    </sheetView>
  </sheetViews>
  <sheetFormatPr defaultColWidth="8.77734375" defaultRowHeight="14.4" x14ac:dyDescent="0.3"/>
  <cols>
    <col min="1" max="1" width="4.77734375" style="56" customWidth="1"/>
    <col min="2" max="2" width="4.5546875" style="56" customWidth="1"/>
    <col min="3" max="3" width="11.44140625" style="56" bestFit="1" customWidth="1"/>
    <col min="4" max="4" width="34.21875" style="56" bestFit="1" customWidth="1"/>
    <col min="5" max="5" width="17.21875" style="56" hidden="1" customWidth="1"/>
    <col min="6" max="7" width="11.77734375" style="56" customWidth="1"/>
    <col min="8" max="8" width="15.44140625" style="116" hidden="1" customWidth="1"/>
    <col min="9" max="9" width="15.21875" style="56" hidden="1" customWidth="1"/>
    <col min="10" max="10" width="8.21875" style="130" hidden="1" customWidth="1"/>
    <col min="11" max="11" width="14.44140625" style="56" hidden="1" customWidth="1"/>
    <col min="12" max="12" width="15.21875" style="56" hidden="1" customWidth="1"/>
    <col min="13" max="13" width="11.77734375" style="56" bestFit="1" customWidth="1"/>
    <col min="14" max="14" width="14.21875" style="56" bestFit="1" customWidth="1"/>
    <col min="15" max="15" width="12.77734375" style="56" hidden="1" customWidth="1"/>
    <col min="16" max="16" width="13.21875" style="56" bestFit="1" customWidth="1"/>
    <col min="17" max="16384" width="8.77734375" style="56"/>
  </cols>
  <sheetData>
    <row r="4" spans="2:16" x14ac:dyDescent="0.3">
      <c r="B4" s="37" t="s">
        <v>467</v>
      </c>
    </row>
    <row r="5" spans="2:16" ht="15" x14ac:dyDescent="0.35">
      <c r="B5" s="31" t="s">
        <v>23</v>
      </c>
      <c r="C5" s="1" t="str">
        <f>'Covering Letter '!D5</f>
        <v>CS/0001/2025</v>
      </c>
    </row>
    <row r="7" spans="2:16" x14ac:dyDescent="0.3">
      <c r="B7" s="141" t="s">
        <v>226</v>
      </c>
      <c r="C7" s="142"/>
    </row>
    <row r="8" spans="2:16" x14ac:dyDescent="0.3">
      <c r="B8" s="569" t="s">
        <v>45</v>
      </c>
      <c r="C8" s="569" t="s">
        <v>227</v>
      </c>
      <c r="D8" s="569" t="s">
        <v>228</v>
      </c>
      <c r="E8" s="569" t="s">
        <v>229</v>
      </c>
      <c r="F8" s="569" t="s">
        <v>219</v>
      </c>
      <c r="G8" s="569" t="s">
        <v>224</v>
      </c>
      <c r="H8" s="570" t="s">
        <v>220</v>
      </c>
      <c r="I8" s="573" t="s">
        <v>230</v>
      </c>
      <c r="J8" s="571" t="s">
        <v>231</v>
      </c>
      <c r="K8" s="572"/>
      <c r="L8" s="573" t="s">
        <v>232</v>
      </c>
      <c r="M8" s="576" t="s">
        <v>233</v>
      </c>
      <c r="N8" s="573" t="s">
        <v>234</v>
      </c>
    </row>
    <row r="9" spans="2:16" x14ac:dyDescent="0.3">
      <c r="B9" s="569"/>
      <c r="C9" s="569"/>
      <c r="D9" s="569"/>
      <c r="E9" s="569"/>
      <c r="F9" s="569"/>
      <c r="G9" s="569"/>
      <c r="H9" s="559"/>
      <c r="I9" s="563"/>
      <c r="J9" s="143" t="s">
        <v>44</v>
      </c>
      <c r="K9" s="144" t="s">
        <v>234</v>
      </c>
      <c r="L9" s="563"/>
      <c r="M9" s="577"/>
      <c r="N9" s="563"/>
    </row>
    <row r="10" spans="2:16" x14ac:dyDescent="0.3">
      <c r="B10" s="137">
        <v>1</v>
      </c>
      <c r="C10" s="60" t="s">
        <v>235</v>
      </c>
      <c r="D10" s="138" t="s">
        <v>236</v>
      </c>
      <c r="E10" s="138" t="s">
        <v>237</v>
      </c>
      <c r="F10" s="60">
        <v>5</v>
      </c>
      <c r="G10" s="60" t="s">
        <v>238</v>
      </c>
      <c r="H10" s="139">
        <v>62280</v>
      </c>
      <c r="I10" s="62">
        <f>F10*H10</f>
        <v>311400</v>
      </c>
      <c r="J10" s="140">
        <v>7.0000000000000007E-2</v>
      </c>
      <c r="K10" s="62">
        <f>I10*J10</f>
        <v>21798.000000000004</v>
      </c>
      <c r="L10" s="62">
        <f>I10+K10</f>
        <v>333198</v>
      </c>
      <c r="M10" s="63">
        <v>1</v>
      </c>
      <c r="N10" s="62">
        <f>L10/M10</f>
        <v>333198</v>
      </c>
      <c r="P10" s="399">
        <f>N10/F10</f>
        <v>66639.600000000006</v>
      </c>
    </row>
    <row r="11" spans="2:16" x14ac:dyDescent="0.3">
      <c r="B11" s="66">
        <v>2</v>
      </c>
      <c r="C11" s="47" t="s">
        <v>235</v>
      </c>
      <c r="D11" s="46" t="s">
        <v>239</v>
      </c>
      <c r="E11" s="46"/>
      <c r="F11" s="47">
        <v>1</v>
      </c>
      <c r="G11" s="47" t="s">
        <v>240</v>
      </c>
      <c r="H11" s="115">
        <v>43200</v>
      </c>
      <c r="I11" s="49">
        <f t="shared" ref="I11:I15" si="0">F11*H11</f>
        <v>43200</v>
      </c>
      <c r="J11" s="140">
        <v>7.0000000000000007E-2</v>
      </c>
      <c r="K11" s="49">
        <f t="shared" ref="K11:K15" si="1">I11*J11</f>
        <v>3024.0000000000005</v>
      </c>
      <c r="L11" s="49">
        <f t="shared" ref="L11:L15" si="2">I11+K11</f>
        <v>46224</v>
      </c>
      <c r="M11" s="50">
        <v>1</v>
      </c>
      <c r="N11" s="49">
        <f t="shared" ref="N11:N15" si="3">L11/M11</f>
        <v>46224</v>
      </c>
    </row>
    <row r="12" spans="2:16" x14ac:dyDescent="0.3">
      <c r="B12" s="66">
        <v>3</v>
      </c>
      <c r="C12" s="47" t="s">
        <v>235</v>
      </c>
      <c r="D12" s="46" t="s">
        <v>241</v>
      </c>
      <c r="E12" s="46" t="s">
        <v>242</v>
      </c>
      <c r="F12" s="47">
        <v>2</v>
      </c>
      <c r="G12" s="47" t="s">
        <v>243</v>
      </c>
      <c r="H12" s="115">
        <v>6280800</v>
      </c>
      <c r="I12" s="49">
        <f t="shared" si="0"/>
        <v>12561600</v>
      </c>
      <c r="J12" s="140">
        <v>7.0000000000000007E-2</v>
      </c>
      <c r="K12" s="49">
        <f t="shared" si="1"/>
        <v>879312.00000000012</v>
      </c>
      <c r="L12" s="49">
        <f t="shared" si="2"/>
        <v>13440912</v>
      </c>
      <c r="M12" s="50">
        <v>12</v>
      </c>
      <c r="N12" s="312">
        <v>0</v>
      </c>
    </row>
    <row r="13" spans="2:16" x14ac:dyDescent="0.3">
      <c r="B13" s="66">
        <v>4</v>
      </c>
      <c r="C13" s="47" t="s">
        <v>235</v>
      </c>
      <c r="D13" s="46" t="s">
        <v>244</v>
      </c>
      <c r="E13" s="46" t="s">
        <v>242</v>
      </c>
      <c r="F13" s="47">
        <v>8</v>
      </c>
      <c r="G13" s="47" t="s">
        <v>243</v>
      </c>
      <c r="H13" s="115">
        <v>413880</v>
      </c>
      <c r="I13" s="49">
        <f t="shared" si="0"/>
        <v>3311040</v>
      </c>
      <c r="J13" s="140">
        <v>7.0000000000000007E-2</v>
      </c>
      <c r="K13" s="49">
        <f t="shared" si="1"/>
        <v>231772.80000000002</v>
      </c>
      <c r="L13" s="49">
        <f t="shared" si="2"/>
        <v>3542812.8</v>
      </c>
      <c r="M13" s="50">
        <v>1</v>
      </c>
      <c r="N13" s="49">
        <f t="shared" si="3"/>
        <v>3542812.8</v>
      </c>
    </row>
    <row r="14" spans="2:16" x14ac:dyDescent="0.3">
      <c r="B14" s="66">
        <v>5</v>
      </c>
      <c r="C14" s="47" t="s">
        <v>235</v>
      </c>
      <c r="D14" s="46" t="s">
        <v>245</v>
      </c>
      <c r="E14" s="46"/>
      <c r="F14" s="47">
        <v>0</v>
      </c>
      <c r="G14" s="47" t="s">
        <v>246</v>
      </c>
      <c r="H14" s="366">
        <v>5000000</v>
      </c>
      <c r="I14" s="49">
        <f t="shared" si="0"/>
        <v>0</v>
      </c>
      <c r="J14" s="367">
        <v>7.0000000000000007E-2</v>
      </c>
      <c r="K14" s="49">
        <f t="shared" si="1"/>
        <v>0</v>
      </c>
      <c r="L14" s="49">
        <f t="shared" si="2"/>
        <v>0</v>
      </c>
      <c r="M14" s="50">
        <v>12</v>
      </c>
      <c r="N14" s="312">
        <f t="shared" si="3"/>
        <v>0</v>
      </c>
    </row>
    <row r="15" spans="2:16" x14ac:dyDescent="0.3">
      <c r="B15" s="69">
        <v>6</v>
      </c>
      <c r="C15" s="59" t="s">
        <v>235</v>
      </c>
      <c r="D15" s="55" t="s">
        <v>247</v>
      </c>
      <c r="E15" s="55"/>
      <c r="F15" s="59">
        <v>6</v>
      </c>
      <c r="G15" s="59" t="s">
        <v>246</v>
      </c>
      <c r="H15" s="145">
        <v>287490</v>
      </c>
      <c r="I15" s="146">
        <f t="shared" si="0"/>
        <v>1724940</v>
      </c>
      <c r="J15" s="140">
        <v>7.0000000000000007E-2</v>
      </c>
      <c r="K15" s="146">
        <f t="shared" si="1"/>
        <v>120745.80000000002</v>
      </c>
      <c r="L15" s="146">
        <f t="shared" si="2"/>
        <v>1845685.8</v>
      </c>
      <c r="M15" s="147">
        <v>12</v>
      </c>
      <c r="N15" s="146">
        <f t="shared" si="3"/>
        <v>153807.15</v>
      </c>
    </row>
    <row r="16" spans="2:16" x14ac:dyDescent="0.3">
      <c r="B16" s="149"/>
      <c r="C16" s="150"/>
      <c r="D16" s="151"/>
      <c r="E16" s="151"/>
      <c r="F16" s="150"/>
      <c r="G16" s="150"/>
      <c r="H16" s="152"/>
      <c r="I16" s="153">
        <f>SUM(I10:I15)</f>
        <v>17952180</v>
      </c>
      <c r="J16" s="154"/>
      <c r="K16" s="153">
        <f>SUM(K10:K15)</f>
        <v>1256652.6000000001</v>
      </c>
      <c r="L16" s="153">
        <f>SUM(L10:L15)</f>
        <v>19208832.600000001</v>
      </c>
      <c r="M16" s="151"/>
      <c r="N16" s="155">
        <f>SUM(N10:N15)</f>
        <v>4076041.9499999997</v>
      </c>
      <c r="O16" s="155">
        <f>N16/4</f>
        <v>1019010.4874999999</v>
      </c>
      <c r="P16" s="229">
        <f>N16/4</f>
        <v>1019010.4874999999</v>
      </c>
    </row>
    <row r="18" spans="2:16" x14ac:dyDescent="0.3">
      <c r="B18" s="156" t="s">
        <v>248</v>
      </c>
      <c r="C18" s="157"/>
      <c r="J18" s="568"/>
      <c r="K18" s="568"/>
      <c r="L18" s="568"/>
    </row>
    <row r="19" spans="2:16" ht="14.7" customHeight="1" x14ac:dyDescent="0.3">
      <c r="B19" s="569" t="s">
        <v>45</v>
      </c>
      <c r="C19" s="569" t="s">
        <v>227</v>
      </c>
      <c r="D19" s="569" t="s">
        <v>228</v>
      </c>
      <c r="E19" s="569" t="s">
        <v>229</v>
      </c>
      <c r="F19" s="569" t="s">
        <v>219</v>
      </c>
      <c r="G19" s="569" t="s">
        <v>224</v>
      </c>
      <c r="H19" s="570" t="s">
        <v>220</v>
      </c>
      <c r="I19" s="573" t="s">
        <v>230</v>
      </c>
      <c r="J19" s="571" t="s">
        <v>231</v>
      </c>
      <c r="K19" s="572"/>
      <c r="L19" s="573" t="s">
        <v>232</v>
      </c>
      <c r="M19" s="576" t="s">
        <v>233</v>
      </c>
      <c r="N19" s="573" t="s">
        <v>234</v>
      </c>
    </row>
    <row r="20" spans="2:16" ht="15" customHeight="1" x14ac:dyDescent="0.3">
      <c r="B20" s="569"/>
      <c r="C20" s="569"/>
      <c r="D20" s="569"/>
      <c r="E20" s="569"/>
      <c r="F20" s="569"/>
      <c r="G20" s="569"/>
      <c r="H20" s="559"/>
      <c r="I20" s="563"/>
      <c r="J20" s="143" t="s">
        <v>44</v>
      </c>
      <c r="K20" s="144" t="s">
        <v>234</v>
      </c>
      <c r="L20" s="563"/>
      <c r="M20" s="577"/>
      <c r="N20" s="563"/>
    </row>
    <row r="21" spans="2:16" x14ac:dyDescent="0.3">
      <c r="B21" s="66">
        <v>1</v>
      </c>
      <c r="C21" s="66" t="s">
        <v>249</v>
      </c>
      <c r="D21" s="373" t="s">
        <v>250</v>
      </c>
      <c r="E21" s="373"/>
      <c r="F21" s="70">
        <v>0</v>
      </c>
      <c r="G21" s="66" t="s">
        <v>246</v>
      </c>
      <c r="H21" s="119">
        <v>59938890</v>
      </c>
      <c r="I21" s="374">
        <f>F21*H21</f>
        <v>0</v>
      </c>
      <c r="J21" s="367">
        <v>7.0000000000000007E-2</v>
      </c>
      <c r="K21" s="62">
        <f>I21*J21</f>
        <v>0</v>
      </c>
      <c r="L21" s="62">
        <v>0</v>
      </c>
      <c r="M21" s="375">
        <v>24</v>
      </c>
      <c r="N21" s="314">
        <f t="shared" ref="N21:N76" si="4">L21/M21</f>
        <v>0</v>
      </c>
    </row>
    <row r="22" spans="2:16" s="73" customFormat="1" x14ac:dyDescent="0.3">
      <c r="B22" s="66">
        <v>2</v>
      </c>
      <c r="C22" s="66" t="s">
        <v>249</v>
      </c>
      <c r="D22" s="74" t="s">
        <v>251</v>
      </c>
      <c r="E22" s="66"/>
      <c r="F22" s="66">
        <v>0</v>
      </c>
      <c r="G22" s="66" t="s">
        <v>246</v>
      </c>
      <c r="H22" s="119">
        <v>4878000</v>
      </c>
      <c r="I22" s="71">
        <f>F22*H22</f>
        <v>0</v>
      </c>
      <c r="J22" s="367">
        <v>7.0000000000000007E-2</v>
      </c>
      <c r="K22" s="49">
        <f>I22*J22</f>
        <v>0</v>
      </c>
      <c r="L22" s="49">
        <v>0</v>
      </c>
      <c r="M22" s="72">
        <v>24</v>
      </c>
      <c r="N22" s="312">
        <f t="shared" si="4"/>
        <v>0</v>
      </c>
    </row>
    <row r="23" spans="2:16" x14ac:dyDescent="0.3">
      <c r="B23" s="66">
        <v>3</v>
      </c>
      <c r="C23" s="66" t="s">
        <v>249</v>
      </c>
      <c r="D23" s="74" t="s">
        <v>252</v>
      </c>
      <c r="E23" s="74"/>
      <c r="F23" s="66">
        <v>0</v>
      </c>
      <c r="G23" s="66" t="s">
        <v>246</v>
      </c>
      <c r="H23" s="119">
        <v>2126400</v>
      </c>
      <c r="I23" s="71">
        <f t="shared" ref="I23:I72" si="5">F23*H23</f>
        <v>0</v>
      </c>
      <c r="J23" s="367">
        <v>7.0000000000000007E-2</v>
      </c>
      <c r="K23" s="49">
        <f t="shared" ref="K23:K76" si="6">I23*J23</f>
        <v>0</v>
      </c>
      <c r="L23" s="49">
        <v>0</v>
      </c>
      <c r="M23" s="72">
        <v>24</v>
      </c>
      <c r="N23" s="312">
        <f t="shared" si="4"/>
        <v>0</v>
      </c>
    </row>
    <row r="24" spans="2:16" x14ac:dyDescent="0.3">
      <c r="B24" s="66">
        <v>4</v>
      </c>
      <c r="C24" s="66" t="s">
        <v>249</v>
      </c>
      <c r="D24" s="74" t="s">
        <v>253</v>
      </c>
      <c r="E24" s="74"/>
      <c r="F24" s="66">
        <v>0</v>
      </c>
      <c r="G24" s="66" t="s">
        <v>246</v>
      </c>
      <c r="H24" s="119">
        <v>4993890</v>
      </c>
      <c r="I24" s="71">
        <f t="shared" si="5"/>
        <v>0</v>
      </c>
      <c r="J24" s="367">
        <v>7.0000000000000007E-2</v>
      </c>
      <c r="K24" s="49">
        <f t="shared" si="6"/>
        <v>0</v>
      </c>
      <c r="L24" s="49">
        <v>0</v>
      </c>
      <c r="M24" s="72">
        <v>24</v>
      </c>
      <c r="N24" s="312">
        <f t="shared" si="4"/>
        <v>0</v>
      </c>
      <c r="O24" s="120" t="s">
        <v>254</v>
      </c>
    </row>
    <row r="25" spans="2:16" s="73" customFormat="1" x14ac:dyDescent="0.3">
      <c r="B25" s="66">
        <v>5</v>
      </c>
      <c r="C25" s="66" t="s">
        <v>249</v>
      </c>
      <c r="D25" s="74" t="s">
        <v>255</v>
      </c>
      <c r="E25" s="66"/>
      <c r="F25" s="66">
        <v>0</v>
      </c>
      <c r="G25" s="66" t="s">
        <v>246</v>
      </c>
      <c r="H25" s="119">
        <v>94350</v>
      </c>
      <c r="I25" s="71">
        <f t="shared" si="5"/>
        <v>0</v>
      </c>
      <c r="J25" s="367">
        <v>7.0000000000000007E-2</v>
      </c>
      <c r="K25" s="49">
        <f t="shared" si="6"/>
        <v>0</v>
      </c>
      <c r="L25" s="49">
        <v>0</v>
      </c>
      <c r="M25" s="72">
        <v>12</v>
      </c>
      <c r="N25" s="312">
        <f t="shared" si="4"/>
        <v>0</v>
      </c>
      <c r="O25" s="73" t="s">
        <v>256</v>
      </c>
    </row>
    <row r="26" spans="2:16" x14ac:dyDescent="0.3">
      <c r="B26" s="66">
        <v>6</v>
      </c>
      <c r="C26" s="66" t="s">
        <v>249</v>
      </c>
      <c r="D26" s="53" t="s">
        <v>257</v>
      </c>
      <c r="E26" s="53"/>
      <c r="F26" s="54">
        <v>0</v>
      </c>
      <c r="G26" s="66" t="s">
        <v>246</v>
      </c>
      <c r="H26" s="119">
        <v>1774890</v>
      </c>
      <c r="I26" s="71">
        <f t="shared" si="5"/>
        <v>0</v>
      </c>
      <c r="J26" s="367">
        <v>7.0000000000000007E-2</v>
      </c>
      <c r="K26" s="49">
        <f t="shared" si="6"/>
        <v>0</v>
      </c>
      <c r="L26" s="49">
        <v>0</v>
      </c>
      <c r="M26" s="72">
        <v>24</v>
      </c>
      <c r="N26" s="312">
        <f t="shared" si="4"/>
        <v>0</v>
      </c>
      <c r="O26" s="114" t="s">
        <v>258</v>
      </c>
      <c r="P26" s="56" t="s">
        <v>259</v>
      </c>
    </row>
    <row r="27" spans="2:16" x14ac:dyDescent="0.3">
      <c r="B27" s="66">
        <v>7</v>
      </c>
      <c r="C27" s="66" t="s">
        <v>249</v>
      </c>
      <c r="D27" s="46" t="s">
        <v>260</v>
      </c>
      <c r="E27" s="46"/>
      <c r="F27" s="47">
        <v>0</v>
      </c>
      <c r="G27" s="66" t="s">
        <v>246</v>
      </c>
      <c r="H27" s="119">
        <v>684600</v>
      </c>
      <c r="I27" s="71">
        <f t="shared" si="5"/>
        <v>0</v>
      </c>
      <c r="J27" s="367">
        <v>7.0000000000000007E-2</v>
      </c>
      <c r="K27" s="49">
        <f t="shared" si="6"/>
        <v>0</v>
      </c>
      <c r="L27" s="49">
        <v>0</v>
      </c>
      <c r="M27" s="72">
        <v>24</v>
      </c>
      <c r="N27" s="312">
        <f t="shared" si="4"/>
        <v>0</v>
      </c>
      <c r="P27" s="56" t="s">
        <v>259</v>
      </c>
    </row>
    <row r="28" spans="2:16" x14ac:dyDescent="0.3">
      <c r="B28" s="66">
        <v>8</v>
      </c>
      <c r="C28" s="66" t="s">
        <v>249</v>
      </c>
      <c r="D28" s="46" t="s">
        <v>261</v>
      </c>
      <c r="E28" s="46"/>
      <c r="F28" s="47">
        <v>0</v>
      </c>
      <c r="G28" s="66" t="s">
        <v>246</v>
      </c>
      <c r="H28" s="119">
        <v>1604400</v>
      </c>
      <c r="I28" s="71">
        <f t="shared" si="5"/>
        <v>0</v>
      </c>
      <c r="J28" s="367">
        <v>7.0000000000000007E-2</v>
      </c>
      <c r="K28" s="49">
        <f t="shared" si="6"/>
        <v>0</v>
      </c>
      <c r="L28" s="49">
        <v>0</v>
      </c>
      <c r="M28" s="72">
        <v>24</v>
      </c>
      <c r="N28" s="312">
        <f t="shared" si="4"/>
        <v>0</v>
      </c>
      <c r="P28" s="56" t="s">
        <v>259</v>
      </c>
    </row>
    <row r="29" spans="2:16" s="73" customFormat="1" x14ac:dyDescent="0.3">
      <c r="B29" s="66">
        <v>9</v>
      </c>
      <c r="C29" s="66" t="s">
        <v>249</v>
      </c>
      <c r="D29" s="315" t="s">
        <v>262</v>
      </c>
      <c r="E29" s="66"/>
      <c r="F29" s="66">
        <v>0</v>
      </c>
      <c r="G29" s="66" t="s">
        <v>246</v>
      </c>
      <c r="H29" s="119">
        <v>3519500</v>
      </c>
      <c r="I29" s="71">
        <f>F29*H29</f>
        <v>0</v>
      </c>
      <c r="J29" s="367">
        <v>7.0000000000000007E-2</v>
      </c>
      <c r="K29" s="49">
        <f t="shared" si="6"/>
        <v>0</v>
      </c>
      <c r="L29" s="49">
        <v>0</v>
      </c>
      <c r="M29" s="72">
        <v>24</v>
      </c>
      <c r="N29" s="312">
        <f t="shared" si="4"/>
        <v>0</v>
      </c>
      <c r="P29" s="73">
        <v>2024</v>
      </c>
    </row>
    <row r="30" spans="2:16" s="73" customFormat="1" x14ac:dyDescent="0.3">
      <c r="B30" s="66">
        <v>10</v>
      </c>
      <c r="C30" s="66" t="s">
        <v>249</v>
      </c>
      <c r="D30" s="315" t="s">
        <v>263</v>
      </c>
      <c r="E30" s="66"/>
      <c r="F30" s="66">
        <v>4</v>
      </c>
      <c r="G30" s="66" t="s">
        <v>246</v>
      </c>
      <c r="H30" s="117">
        <v>42000</v>
      </c>
      <c r="I30" s="71">
        <f t="shared" si="5"/>
        <v>168000</v>
      </c>
      <c r="J30" s="367">
        <v>7.0000000000000007E-2</v>
      </c>
      <c r="K30" s="49">
        <f t="shared" si="6"/>
        <v>11760.000000000002</v>
      </c>
      <c r="L30" s="49">
        <f>I30+K30</f>
        <v>179760</v>
      </c>
      <c r="M30" s="72">
        <v>12</v>
      </c>
      <c r="N30" s="49">
        <f t="shared" si="4"/>
        <v>14980</v>
      </c>
    </row>
    <row r="31" spans="2:16" s="73" customFormat="1" x14ac:dyDescent="0.3">
      <c r="B31" s="66">
        <v>11</v>
      </c>
      <c r="C31" s="66" t="s">
        <v>249</v>
      </c>
      <c r="D31" s="315" t="s">
        <v>264</v>
      </c>
      <c r="E31" s="66"/>
      <c r="F31" s="66">
        <v>0</v>
      </c>
      <c r="G31" s="66" t="s">
        <v>246</v>
      </c>
      <c r="H31" s="117">
        <v>28000</v>
      </c>
      <c r="I31" s="71">
        <f t="shared" si="5"/>
        <v>0</v>
      </c>
      <c r="J31" s="367">
        <v>7.0000000000000007E-2</v>
      </c>
      <c r="K31" s="49">
        <f t="shared" si="6"/>
        <v>0</v>
      </c>
      <c r="L31" s="49">
        <v>0</v>
      </c>
      <c r="M31" s="72">
        <v>24</v>
      </c>
      <c r="N31" s="312">
        <f t="shared" si="4"/>
        <v>0</v>
      </c>
      <c r="P31" s="73">
        <v>2024</v>
      </c>
    </row>
    <row r="32" spans="2:16" s="73" customFormat="1" x14ac:dyDescent="0.3">
      <c r="B32" s="66">
        <v>12</v>
      </c>
      <c r="C32" s="66" t="s">
        <v>249</v>
      </c>
      <c r="D32" s="315" t="s">
        <v>265</v>
      </c>
      <c r="E32" s="66"/>
      <c r="F32" s="66">
        <v>0</v>
      </c>
      <c r="G32" s="66" t="s">
        <v>246</v>
      </c>
      <c r="H32" s="117">
        <v>35000</v>
      </c>
      <c r="I32" s="71">
        <f t="shared" si="5"/>
        <v>0</v>
      </c>
      <c r="J32" s="367">
        <v>7.0000000000000007E-2</v>
      </c>
      <c r="K32" s="49">
        <f t="shared" si="6"/>
        <v>0</v>
      </c>
      <c r="L32" s="49">
        <v>0</v>
      </c>
      <c r="M32" s="72">
        <v>24</v>
      </c>
      <c r="N32" s="312">
        <f t="shared" si="4"/>
        <v>0</v>
      </c>
      <c r="P32" s="73">
        <v>2024</v>
      </c>
    </row>
    <row r="33" spans="2:16" s="73" customFormat="1" x14ac:dyDescent="0.3">
      <c r="B33" s="66">
        <v>13</v>
      </c>
      <c r="C33" s="66" t="s">
        <v>249</v>
      </c>
      <c r="D33" s="315" t="s">
        <v>266</v>
      </c>
      <c r="E33" s="66"/>
      <c r="F33" s="66">
        <v>0</v>
      </c>
      <c r="G33" s="66" t="s">
        <v>246</v>
      </c>
      <c r="H33" s="117">
        <v>25000</v>
      </c>
      <c r="I33" s="71">
        <f t="shared" si="5"/>
        <v>0</v>
      </c>
      <c r="J33" s="367">
        <v>7.0000000000000007E-2</v>
      </c>
      <c r="K33" s="49">
        <f t="shared" si="6"/>
        <v>0</v>
      </c>
      <c r="L33" s="49">
        <v>0</v>
      </c>
      <c r="M33" s="72">
        <v>24</v>
      </c>
      <c r="N33" s="312">
        <f t="shared" si="4"/>
        <v>0</v>
      </c>
      <c r="P33" s="73">
        <v>2024</v>
      </c>
    </row>
    <row r="34" spans="2:16" s="73" customFormat="1" x14ac:dyDescent="0.3">
      <c r="B34" s="66">
        <v>14</v>
      </c>
      <c r="C34" s="66" t="s">
        <v>249</v>
      </c>
      <c r="D34" s="315" t="s">
        <v>267</v>
      </c>
      <c r="E34" s="66"/>
      <c r="F34" s="66">
        <v>0</v>
      </c>
      <c r="G34" s="66" t="s">
        <v>246</v>
      </c>
      <c r="H34" s="124">
        <v>40000</v>
      </c>
      <c r="I34" s="71">
        <f t="shared" si="5"/>
        <v>0</v>
      </c>
      <c r="J34" s="367">
        <v>7.0000000000000007E-2</v>
      </c>
      <c r="K34" s="49">
        <f t="shared" si="6"/>
        <v>0</v>
      </c>
      <c r="L34" s="49">
        <v>0</v>
      </c>
      <c r="M34" s="72">
        <v>24</v>
      </c>
      <c r="N34" s="312">
        <f t="shared" si="4"/>
        <v>0</v>
      </c>
      <c r="P34" s="73">
        <v>2024</v>
      </c>
    </row>
    <row r="35" spans="2:16" s="73" customFormat="1" x14ac:dyDescent="0.3">
      <c r="B35" s="66">
        <v>15</v>
      </c>
      <c r="C35" s="66" t="s">
        <v>249</v>
      </c>
      <c r="D35" s="315" t="s">
        <v>268</v>
      </c>
      <c r="E35" s="66"/>
      <c r="F35" s="66">
        <v>2</v>
      </c>
      <c r="G35" s="66" t="s">
        <v>246</v>
      </c>
      <c r="H35" s="117">
        <v>150000</v>
      </c>
      <c r="I35" s="71">
        <f t="shared" si="5"/>
        <v>300000</v>
      </c>
      <c r="J35" s="367">
        <v>7.0000000000000007E-2</v>
      </c>
      <c r="K35" s="49">
        <f t="shared" si="6"/>
        <v>21000.000000000004</v>
      </c>
      <c r="L35" s="49">
        <f>I35+K35</f>
        <v>321000</v>
      </c>
      <c r="M35" s="72">
        <v>12</v>
      </c>
      <c r="N35" s="49">
        <f t="shared" si="4"/>
        <v>26750</v>
      </c>
      <c r="P35" s="73">
        <v>2025</v>
      </c>
    </row>
    <row r="36" spans="2:16" s="73" customFormat="1" x14ac:dyDescent="0.3">
      <c r="B36" s="66">
        <v>16</v>
      </c>
      <c r="C36" s="66" t="s">
        <v>249</v>
      </c>
      <c r="D36" s="315" t="s">
        <v>269</v>
      </c>
      <c r="E36" s="66"/>
      <c r="F36" s="66">
        <v>2</v>
      </c>
      <c r="G36" s="66" t="s">
        <v>246</v>
      </c>
      <c r="H36" s="117">
        <v>150000</v>
      </c>
      <c r="I36" s="71">
        <f t="shared" si="5"/>
        <v>300000</v>
      </c>
      <c r="J36" s="367">
        <v>7.0000000000000007E-2</v>
      </c>
      <c r="K36" s="49">
        <f t="shared" si="6"/>
        <v>21000.000000000004</v>
      </c>
      <c r="L36" s="49">
        <f>I36+K36</f>
        <v>321000</v>
      </c>
      <c r="M36" s="72">
        <v>24</v>
      </c>
      <c r="N36" s="49">
        <f t="shared" si="4"/>
        <v>13375</v>
      </c>
      <c r="P36" s="73">
        <v>2025</v>
      </c>
    </row>
    <row r="37" spans="2:16" s="73" customFormat="1" x14ac:dyDescent="0.3">
      <c r="B37" s="66">
        <v>17</v>
      </c>
      <c r="C37" s="66" t="s">
        <v>249</v>
      </c>
      <c r="D37" s="315" t="s">
        <v>270</v>
      </c>
      <c r="E37" s="66"/>
      <c r="F37" s="66">
        <v>3</v>
      </c>
      <c r="G37" s="66" t="s">
        <v>246</v>
      </c>
      <c r="H37" s="117">
        <v>58000</v>
      </c>
      <c r="I37" s="71">
        <f t="shared" si="5"/>
        <v>174000</v>
      </c>
      <c r="J37" s="367">
        <v>7.0000000000000007E-2</v>
      </c>
      <c r="K37" s="49">
        <f t="shared" si="6"/>
        <v>12180.000000000002</v>
      </c>
      <c r="L37" s="49">
        <f>I37+K37</f>
        <v>186180</v>
      </c>
      <c r="M37" s="72">
        <v>24</v>
      </c>
      <c r="N37" s="49">
        <f t="shared" si="4"/>
        <v>7757.5</v>
      </c>
      <c r="P37" s="73">
        <v>2025</v>
      </c>
    </row>
    <row r="38" spans="2:16" s="73" customFormat="1" x14ac:dyDescent="0.3">
      <c r="B38" s="66">
        <v>18</v>
      </c>
      <c r="C38" s="66" t="s">
        <v>249</v>
      </c>
      <c r="D38" s="315" t="s">
        <v>271</v>
      </c>
      <c r="E38" s="66"/>
      <c r="F38" s="66">
        <v>0</v>
      </c>
      <c r="G38" s="66" t="s">
        <v>246</v>
      </c>
      <c r="H38" s="117">
        <v>88000</v>
      </c>
      <c r="I38" s="71">
        <f t="shared" si="5"/>
        <v>0</v>
      </c>
      <c r="J38" s="367">
        <v>7.0000000000000007E-2</v>
      </c>
      <c r="K38" s="49">
        <f t="shared" si="6"/>
        <v>0</v>
      </c>
      <c r="L38" s="49">
        <v>0</v>
      </c>
      <c r="M38" s="72">
        <v>24</v>
      </c>
      <c r="N38" s="312">
        <f t="shared" si="4"/>
        <v>0</v>
      </c>
      <c r="P38" s="73">
        <v>2024</v>
      </c>
    </row>
    <row r="39" spans="2:16" s="73" customFormat="1" x14ac:dyDescent="0.3">
      <c r="B39" s="66">
        <v>19</v>
      </c>
      <c r="C39" s="66" t="s">
        <v>249</v>
      </c>
      <c r="D39" s="315" t="s">
        <v>272</v>
      </c>
      <c r="E39" s="66"/>
      <c r="F39" s="66">
        <v>0</v>
      </c>
      <c r="G39" s="66" t="s">
        <v>246</v>
      </c>
      <c r="H39" s="117">
        <v>63000</v>
      </c>
      <c r="I39" s="71">
        <f t="shared" si="5"/>
        <v>0</v>
      </c>
      <c r="J39" s="367">
        <v>7.0000000000000007E-2</v>
      </c>
      <c r="K39" s="49">
        <f t="shared" si="6"/>
        <v>0</v>
      </c>
      <c r="L39" s="49">
        <v>0</v>
      </c>
      <c r="M39" s="72">
        <v>24</v>
      </c>
      <c r="N39" s="312">
        <f t="shared" si="4"/>
        <v>0</v>
      </c>
      <c r="P39" s="73">
        <v>2024</v>
      </c>
    </row>
    <row r="40" spans="2:16" s="73" customFormat="1" x14ac:dyDescent="0.3">
      <c r="B40" s="66">
        <v>20</v>
      </c>
      <c r="C40" s="66" t="s">
        <v>249</v>
      </c>
      <c r="D40" s="74" t="s">
        <v>273</v>
      </c>
      <c r="E40" s="66"/>
      <c r="F40" s="66">
        <v>4</v>
      </c>
      <c r="G40" s="66" t="s">
        <v>246</v>
      </c>
      <c r="H40" s="119">
        <v>100080</v>
      </c>
      <c r="I40" s="71">
        <f t="shared" si="5"/>
        <v>400320</v>
      </c>
      <c r="J40" s="367">
        <v>7.0000000000000007E-2</v>
      </c>
      <c r="K40" s="49">
        <f t="shared" si="6"/>
        <v>28022.400000000001</v>
      </c>
      <c r="L40" s="49">
        <f>I40+K40</f>
        <v>428342.4</v>
      </c>
      <c r="M40" s="72">
        <v>12</v>
      </c>
      <c r="N40" s="49">
        <f t="shared" si="4"/>
        <v>35695.200000000004</v>
      </c>
      <c r="P40" s="73">
        <v>2024</v>
      </c>
    </row>
    <row r="41" spans="2:16" s="73" customFormat="1" x14ac:dyDescent="0.3">
      <c r="B41" s="66">
        <v>21</v>
      </c>
      <c r="C41" s="66" t="s">
        <v>249</v>
      </c>
      <c r="D41" s="74" t="s">
        <v>274</v>
      </c>
      <c r="E41" s="66"/>
      <c r="F41" s="66">
        <v>2</v>
      </c>
      <c r="G41" s="66" t="s">
        <v>246</v>
      </c>
      <c r="H41" s="117">
        <v>35900</v>
      </c>
      <c r="I41" s="71">
        <f t="shared" si="5"/>
        <v>71800</v>
      </c>
      <c r="J41" s="367">
        <v>7.0000000000000007E-2</v>
      </c>
      <c r="K41" s="49">
        <f t="shared" si="6"/>
        <v>5026.0000000000009</v>
      </c>
      <c r="L41" s="49">
        <v>0</v>
      </c>
      <c r="M41" s="72">
        <v>24</v>
      </c>
      <c r="N41" s="312">
        <f t="shared" si="4"/>
        <v>0</v>
      </c>
      <c r="P41" s="73">
        <v>2024</v>
      </c>
    </row>
    <row r="42" spans="2:16" s="73" customFormat="1" x14ac:dyDescent="0.3">
      <c r="B42" s="66">
        <v>22</v>
      </c>
      <c r="C42" s="66" t="s">
        <v>249</v>
      </c>
      <c r="D42" s="74" t="s">
        <v>275</v>
      </c>
      <c r="E42" s="66"/>
      <c r="F42" s="66">
        <v>2</v>
      </c>
      <c r="G42" s="66" t="s">
        <v>246</v>
      </c>
      <c r="H42" s="117">
        <v>30000</v>
      </c>
      <c r="I42" s="71">
        <f t="shared" si="5"/>
        <v>60000</v>
      </c>
      <c r="J42" s="367">
        <v>7.0000000000000007E-2</v>
      </c>
      <c r="K42" s="49">
        <f t="shared" si="6"/>
        <v>4200</v>
      </c>
      <c r="L42" s="49">
        <v>0</v>
      </c>
      <c r="M42" s="72">
        <v>24</v>
      </c>
      <c r="N42" s="312">
        <f t="shared" si="4"/>
        <v>0</v>
      </c>
      <c r="P42" s="73">
        <v>2024</v>
      </c>
    </row>
    <row r="43" spans="2:16" s="73" customFormat="1" x14ac:dyDescent="0.3">
      <c r="B43" s="66">
        <v>23</v>
      </c>
      <c r="C43" s="66" t="s">
        <v>249</v>
      </c>
      <c r="D43" s="74" t="s">
        <v>276</v>
      </c>
      <c r="E43" s="66"/>
      <c r="F43" s="66">
        <v>2</v>
      </c>
      <c r="G43" s="66" t="s">
        <v>246</v>
      </c>
      <c r="H43" s="117">
        <v>35000</v>
      </c>
      <c r="I43" s="71">
        <f t="shared" si="5"/>
        <v>70000</v>
      </c>
      <c r="J43" s="367">
        <v>7.0000000000000007E-2</v>
      </c>
      <c r="K43" s="49">
        <f t="shared" si="6"/>
        <v>4900.0000000000009</v>
      </c>
      <c r="L43" s="49">
        <v>0</v>
      </c>
      <c r="M43" s="72">
        <v>24</v>
      </c>
      <c r="N43" s="312">
        <f t="shared" si="4"/>
        <v>0</v>
      </c>
      <c r="P43" s="73">
        <v>2024</v>
      </c>
    </row>
    <row r="44" spans="2:16" s="73" customFormat="1" x14ac:dyDescent="0.3">
      <c r="B44" s="66">
        <v>24</v>
      </c>
      <c r="C44" s="66" t="s">
        <v>249</v>
      </c>
      <c r="D44" s="74" t="s">
        <v>277</v>
      </c>
      <c r="E44" s="66"/>
      <c r="F44" s="66">
        <v>2</v>
      </c>
      <c r="G44" s="66" t="s">
        <v>246</v>
      </c>
      <c r="H44" s="117">
        <v>40000</v>
      </c>
      <c r="I44" s="71">
        <f t="shared" si="5"/>
        <v>80000</v>
      </c>
      <c r="J44" s="367">
        <v>7.0000000000000007E-2</v>
      </c>
      <c r="K44" s="49">
        <f t="shared" si="6"/>
        <v>5600.0000000000009</v>
      </c>
      <c r="L44" s="49">
        <v>0</v>
      </c>
      <c r="M44" s="72">
        <v>24</v>
      </c>
      <c r="N44" s="312">
        <f t="shared" si="4"/>
        <v>0</v>
      </c>
      <c r="P44" s="73">
        <v>2024</v>
      </c>
    </row>
    <row r="45" spans="2:16" s="73" customFormat="1" x14ac:dyDescent="0.3">
      <c r="B45" s="66">
        <v>25</v>
      </c>
      <c r="C45" s="66" t="s">
        <v>249</v>
      </c>
      <c r="D45" s="74" t="s">
        <v>278</v>
      </c>
      <c r="E45" s="66"/>
      <c r="F45" s="66">
        <v>2</v>
      </c>
      <c r="G45" s="66" t="s">
        <v>246</v>
      </c>
      <c r="H45" s="117">
        <v>45000</v>
      </c>
      <c r="I45" s="71">
        <f t="shared" si="5"/>
        <v>90000</v>
      </c>
      <c r="J45" s="367">
        <v>7.0000000000000007E-2</v>
      </c>
      <c r="K45" s="49">
        <f t="shared" si="6"/>
        <v>6300.0000000000009</v>
      </c>
      <c r="L45" s="49">
        <v>0</v>
      </c>
      <c r="M45" s="72">
        <v>24</v>
      </c>
      <c r="N45" s="312">
        <f t="shared" si="4"/>
        <v>0</v>
      </c>
      <c r="P45" s="73">
        <v>2024</v>
      </c>
    </row>
    <row r="46" spans="2:16" s="73" customFormat="1" x14ac:dyDescent="0.3">
      <c r="B46" s="66">
        <v>26</v>
      </c>
      <c r="C46" s="66" t="s">
        <v>249</v>
      </c>
      <c r="D46" s="74" t="s">
        <v>279</v>
      </c>
      <c r="E46" s="66"/>
      <c r="F46" s="66">
        <v>2</v>
      </c>
      <c r="G46" s="66" t="s">
        <v>246</v>
      </c>
      <c r="H46" s="117">
        <v>50000</v>
      </c>
      <c r="I46" s="71">
        <f t="shared" si="5"/>
        <v>100000</v>
      </c>
      <c r="J46" s="367">
        <v>7.0000000000000007E-2</v>
      </c>
      <c r="K46" s="49">
        <f t="shared" si="6"/>
        <v>7000.0000000000009</v>
      </c>
      <c r="L46" s="49">
        <v>0</v>
      </c>
      <c r="M46" s="72">
        <v>24</v>
      </c>
      <c r="N46" s="312">
        <f t="shared" si="4"/>
        <v>0</v>
      </c>
      <c r="P46" s="73">
        <v>2024</v>
      </c>
    </row>
    <row r="47" spans="2:16" s="73" customFormat="1" x14ac:dyDescent="0.3">
      <c r="B47" s="66">
        <v>27</v>
      </c>
      <c r="C47" s="66" t="s">
        <v>249</v>
      </c>
      <c r="D47" s="74" t="s">
        <v>280</v>
      </c>
      <c r="E47" s="66"/>
      <c r="F47" s="66">
        <v>2</v>
      </c>
      <c r="G47" s="66" t="s">
        <v>246</v>
      </c>
      <c r="H47" s="117">
        <v>129000</v>
      </c>
      <c r="I47" s="71">
        <f t="shared" si="5"/>
        <v>258000</v>
      </c>
      <c r="J47" s="367">
        <v>7.0000000000000007E-2</v>
      </c>
      <c r="K47" s="49">
        <f t="shared" si="6"/>
        <v>18060</v>
      </c>
      <c r="L47" s="49">
        <v>0</v>
      </c>
      <c r="M47" s="72">
        <v>24</v>
      </c>
      <c r="N47" s="312">
        <f t="shared" si="4"/>
        <v>0</v>
      </c>
      <c r="P47" s="73">
        <v>2024</v>
      </c>
    </row>
    <row r="48" spans="2:16" s="73" customFormat="1" x14ac:dyDescent="0.3">
      <c r="B48" s="66">
        <v>28</v>
      </c>
      <c r="C48" s="66" t="s">
        <v>249</v>
      </c>
      <c r="D48" s="74" t="s">
        <v>281</v>
      </c>
      <c r="E48" s="66"/>
      <c r="F48" s="66">
        <v>10</v>
      </c>
      <c r="G48" s="66" t="s">
        <v>246</v>
      </c>
      <c r="H48" s="117">
        <v>20000</v>
      </c>
      <c r="I48" s="71">
        <f t="shared" si="5"/>
        <v>200000</v>
      </c>
      <c r="J48" s="367">
        <v>7.0000000000000007E-2</v>
      </c>
      <c r="K48" s="49">
        <f t="shared" si="6"/>
        <v>14000.000000000002</v>
      </c>
      <c r="L48" s="49">
        <f>I48+K48</f>
        <v>214000</v>
      </c>
      <c r="M48" s="72">
        <v>24</v>
      </c>
      <c r="N48" s="49">
        <f t="shared" si="4"/>
        <v>8916.6666666666661</v>
      </c>
      <c r="P48" s="73">
        <v>2025</v>
      </c>
    </row>
    <row r="49" spans="2:16" s="73" customFormat="1" x14ac:dyDescent="0.3">
      <c r="B49" s="66">
        <v>29</v>
      </c>
      <c r="C49" s="66" t="s">
        <v>249</v>
      </c>
      <c r="D49" s="74" t="s">
        <v>282</v>
      </c>
      <c r="E49" s="66"/>
      <c r="F49" s="66">
        <v>2</v>
      </c>
      <c r="G49" s="66" t="s">
        <v>246</v>
      </c>
      <c r="H49" s="117">
        <v>17500</v>
      </c>
      <c r="I49" s="71">
        <f t="shared" si="5"/>
        <v>35000</v>
      </c>
      <c r="J49" s="367">
        <v>7.0000000000000007E-2</v>
      </c>
      <c r="K49" s="49">
        <f t="shared" si="6"/>
        <v>2450.0000000000005</v>
      </c>
      <c r="L49" s="49">
        <f>I49+K49</f>
        <v>37450</v>
      </c>
      <c r="M49" s="72">
        <v>24</v>
      </c>
      <c r="N49" s="49">
        <f t="shared" si="4"/>
        <v>1560.4166666666667</v>
      </c>
      <c r="P49" s="73">
        <v>2025</v>
      </c>
    </row>
    <row r="50" spans="2:16" s="73" customFormat="1" x14ac:dyDescent="0.3">
      <c r="B50" s="66">
        <v>30</v>
      </c>
      <c r="C50" s="66" t="s">
        <v>249</v>
      </c>
      <c r="D50" s="74" t="s">
        <v>283</v>
      </c>
      <c r="E50" s="66"/>
      <c r="F50" s="66">
        <v>2</v>
      </c>
      <c r="G50" s="66" t="s">
        <v>246</v>
      </c>
      <c r="H50" s="117">
        <v>129000</v>
      </c>
      <c r="I50" s="71">
        <f t="shared" si="5"/>
        <v>258000</v>
      </c>
      <c r="J50" s="367">
        <v>7.0000000000000007E-2</v>
      </c>
      <c r="K50" s="49">
        <f t="shared" si="6"/>
        <v>18060</v>
      </c>
      <c r="L50" s="49">
        <v>0</v>
      </c>
      <c r="M50" s="72">
        <v>24</v>
      </c>
      <c r="N50" s="312">
        <f t="shared" si="4"/>
        <v>0</v>
      </c>
      <c r="P50" s="73">
        <v>2024</v>
      </c>
    </row>
    <row r="51" spans="2:16" s="73" customFormat="1" x14ac:dyDescent="0.3">
      <c r="B51" s="66">
        <v>31</v>
      </c>
      <c r="C51" s="66" t="s">
        <v>249</v>
      </c>
      <c r="D51" s="74" t="s">
        <v>284</v>
      </c>
      <c r="E51" s="66"/>
      <c r="F51" s="66">
        <v>1</v>
      </c>
      <c r="G51" s="66" t="s">
        <v>246</v>
      </c>
      <c r="H51" s="117">
        <v>89000</v>
      </c>
      <c r="I51" s="71">
        <f t="shared" si="5"/>
        <v>89000</v>
      </c>
      <c r="J51" s="367">
        <v>7.0000000000000007E-2</v>
      </c>
      <c r="K51" s="49">
        <f t="shared" si="6"/>
        <v>6230.0000000000009</v>
      </c>
      <c r="L51" s="49">
        <v>0</v>
      </c>
      <c r="M51" s="72">
        <v>24</v>
      </c>
      <c r="N51" s="312">
        <f t="shared" si="4"/>
        <v>0</v>
      </c>
      <c r="P51" s="73">
        <v>2024</v>
      </c>
    </row>
    <row r="52" spans="2:16" s="73" customFormat="1" x14ac:dyDescent="0.3">
      <c r="B52" s="66">
        <v>32</v>
      </c>
      <c r="C52" s="66" t="s">
        <v>249</v>
      </c>
      <c r="D52" s="74" t="s">
        <v>285</v>
      </c>
      <c r="E52" s="66" t="s">
        <v>286</v>
      </c>
      <c r="F52" s="66">
        <v>2</v>
      </c>
      <c r="G52" s="66" t="s">
        <v>246</v>
      </c>
      <c r="H52" s="119">
        <v>205000</v>
      </c>
      <c r="I52" s="71">
        <f t="shared" si="5"/>
        <v>410000</v>
      </c>
      <c r="J52" s="367">
        <v>7.0000000000000007E-2</v>
      </c>
      <c r="K52" s="49">
        <f t="shared" si="6"/>
        <v>28700.000000000004</v>
      </c>
      <c r="L52" s="49">
        <f>I52+K52</f>
        <v>438700</v>
      </c>
      <c r="M52" s="72">
        <v>24</v>
      </c>
      <c r="N52" s="49">
        <f t="shared" si="4"/>
        <v>18279.166666666668</v>
      </c>
      <c r="P52" s="73">
        <v>2025</v>
      </c>
    </row>
    <row r="53" spans="2:16" s="73" customFormat="1" x14ac:dyDescent="0.3">
      <c r="B53" s="66">
        <v>33</v>
      </c>
      <c r="C53" s="66" t="s">
        <v>249</v>
      </c>
      <c r="D53" s="74" t="s">
        <v>287</v>
      </c>
      <c r="E53" s="66"/>
      <c r="F53" s="66">
        <v>1</v>
      </c>
      <c r="G53" s="66" t="s">
        <v>246</v>
      </c>
      <c r="H53" s="117">
        <v>85000</v>
      </c>
      <c r="I53" s="71">
        <f t="shared" si="5"/>
        <v>85000</v>
      </c>
      <c r="J53" s="367">
        <v>7.0000000000000007E-2</v>
      </c>
      <c r="K53" s="49">
        <f t="shared" si="6"/>
        <v>5950.0000000000009</v>
      </c>
      <c r="L53" s="49">
        <f>I53+K53</f>
        <v>90950</v>
      </c>
      <c r="M53" s="72">
        <v>24</v>
      </c>
      <c r="N53" s="49">
        <f t="shared" si="4"/>
        <v>3789.5833333333335</v>
      </c>
      <c r="P53" s="73">
        <v>2025</v>
      </c>
    </row>
    <row r="54" spans="2:16" s="73" customFormat="1" x14ac:dyDescent="0.3">
      <c r="B54" s="66">
        <v>34</v>
      </c>
      <c r="C54" s="66" t="s">
        <v>249</v>
      </c>
      <c r="D54" s="74" t="s">
        <v>288</v>
      </c>
      <c r="E54" s="66"/>
      <c r="F54" s="66">
        <v>1</v>
      </c>
      <c r="G54" s="66" t="s">
        <v>246</v>
      </c>
      <c r="H54" s="117">
        <v>1108890</v>
      </c>
      <c r="I54" s="71">
        <f t="shared" si="5"/>
        <v>1108890</v>
      </c>
      <c r="J54" s="367">
        <v>7.0000000000000007E-2</v>
      </c>
      <c r="K54" s="49">
        <f t="shared" si="6"/>
        <v>77622.3</v>
      </c>
      <c r="L54" s="49">
        <v>0</v>
      </c>
      <c r="M54" s="72">
        <v>24</v>
      </c>
      <c r="N54" s="312">
        <f t="shared" si="4"/>
        <v>0</v>
      </c>
      <c r="P54" s="73">
        <v>2024</v>
      </c>
    </row>
    <row r="55" spans="2:16" s="73" customFormat="1" x14ac:dyDescent="0.3">
      <c r="B55" s="66">
        <v>35</v>
      </c>
      <c r="C55" s="66" t="s">
        <v>249</v>
      </c>
      <c r="D55" s="74" t="s">
        <v>289</v>
      </c>
      <c r="E55" s="66"/>
      <c r="F55" s="66">
        <v>1</v>
      </c>
      <c r="G55" s="66" t="s">
        <v>246</v>
      </c>
      <c r="H55" s="117">
        <v>2799000</v>
      </c>
      <c r="I55" s="71">
        <f t="shared" si="5"/>
        <v>2799000</v>
      </c>
      <c r="J55" s="367">
        <v>7.0000000000000007E-2</v>
      </c>
      <c r="K55" s="49">
        <f t="shared" si="6"/>
        <v>195930.00000000003</v>
      </c>
      <c r="L55" s="49">
        <v>0</v>
      </c>
      <c r="M55" s="72">
        <v>24</v>
      </c>
      <c r="N55" s="312">
        <f t="shared" si="4"/>
        <v>0</v>
      </c>
      <c r="P55" s="73">
        <v>2024</v>
      </c>
    </row>
    <row r="56" spans="2:16" s="73" customFormat="1" x14ac:dyDescent="0.3">
      <c r="B56" s="66">
        <v>36</v>
      </c>
      <c r="C56" s="66" t="s">
        <v>249</v>
      </c>
      <c r="D56" s="68" t="s">
        <v>290</v>
      </c>
      <c r="E56" s="67"/>
      <c r="F56" s="66">
        <v>2</v>
      </c>
      <c r="G56" s="66" t="s">
        <v>246</v>
      </c>
      <c r="H56" s="117">
        <v>1774890</v>
      </c>
      <c r="I56" s="71">
        <f t="shared" si="5"/>
        <v>3549780</v>
      </c>
      <c r="J56" s="367">
        <v>7.0000000000000007E-2</v>
      </c>
      <c r="K56" s="49">
        <f t="shared" si="6"/>
        <v>248484.60000000003</v>
      </c>
      <c r="L56" s="49">
        <v>0</v>
      </c>
      <c r="M56" s="72">
        <v>24</v>
      </c>
      <c r="N56" s="312">
        <f t="shared" si="4"/>
        <v>0</v>
      </c>
      <c r="O56" s="114" t="s">
        <v>291</v>
      </c>
      <c r="P56" s="73">
        <v>2024</v>
      </c>
    </row>
    <row r="57" spans="2:16" s="73" customFormat="1" x14ac:dyDescent="0.3">
      <c r="B57" s="66">
        <v>37</v>
      </c>
      <c r="C57" s="66" t="s">
        <v>249</v>
      </c>
      <c r="D57" s="74" t="s">
        <v>292</v>
      </c>
      <c r="E57" s="74"/>
      <c r="F57" s="66">
        <v>0</v>
      </c>
      <c r="G57" s="66" t="s">
        <v>246</v>
      </c>
      <c r="H57" s="119">
        <v>243090</v>
      </c>
      <c r="I57" s="71">
        <f t="shared" si="5"/>
        <v>0</v>
      </c>
      <c r="J57" s="367">
        <v>7.0000000000000007E-2</v>
      </c>
      <c r="K57" s="49">
        <f t="shared" si="6"/>
        <v>0</v>
      </c>
      <c r="L57" s="49">
        <v>0</v>
      </c>
      <c r="M57" s="72">
        <v>12</v>
      </c>
      <c r="N57" s="312">
        <f t="shared" si="4"/>
        <v>0</v>
      </c>
      <c r="P57" s="73" t="s">
        <v>259</v>
      </c>
    </row>
    <row r="58" spans="2:16" s="73" customFormat="1" x14ac:dyDescent="0.3">
      <c r="B58" s="66">
        <v>38</v>
      </c>
      <c r="C58" s="66" t="s">
        <v>249</v>
      </c>
      <c r="D58" s="74" t="s">
        <v>293</v>
      </c>
      <c r="E58" s="67"/>
      <c r="F58" s="66">
        <v>3</v>
      </c>
      <c r="G58" s="66" t="s">
        <v>246</v>
      </c>
      <c r="H58" s="119">
        <v>74400</v>
      </c>
      <c r="I58" s="71">
        <f t="shared" si="5"/>
        <v>223200</v>
      </c>
      <c r="J58" s="367">
        <v>7.0000000000000007E-2</v>
      </c>
      <c r="K58" s="49">
        <f t="shared" si="6"/>
        <v>15624.000000000002</v>
      </c>
      <c r="L58" s="49">
        <f>I58+K58</f>
        <v>238824</v>
      </c>
      <c r="M58" s="72">
        <v>24</v>
      </c>
      <c r="N58" s="49">
        <f t="shared" si="4"/>
        <v>9951</v>
      </c>
      <c r="P58" s="73">
        <v>2025</v>
      </c>
    </row>
    <row r="59" spans="2:16" x14ac:dyDescent="0.3">
      <c r="B59" s="66">
        <v>39</v>
      </c>
      <c r="C59" s="66" t="s">
        <v>249</v>
      </c>
      <c r="D59" s="53" t="s">
        <v>294</v>
      </c>
      <c r="E59" s="53"/>
      <c r="F59" s="54">
        <v>1</v>
      </c>
      <c r="G59" s="54" t="s">
        <v>295</v>
      </c>
      <c r="H59" s="117">
        <v>265290</v>
      </c>
      <c r="I59" s="71">
        <f t="shared" si="5"/>
        <v>265290</v>
      </c>
      <c r="J59" s="367">
        <v>7.0000000000000007E-2</v>
      </c>
      <c r="K59" s="49">
        <f t="shared" si="6"/>
        <v>18570.300000000003</v>
      </c>
      <c r="L59" s="49">
        <v>0</v>
      </c>
      <c r="M59" s="72">
        <v>12</v>
      </c>
      <c r="N59" s="312">
        <f t="shared" si="4"/>
        <v>0</v>
      </c>
      <c r="P59" s="73" t="s">
        <v>259</v>
      </c>
    </row>
    <row r="60" spans="2:16" x14ac:dyDescent="0.3">
      <c r="B60" s="66">
        <v>40</v>
      </c>
      <c r="C60" s="66" t="s">
        <v>249</v>
      </c>
      <c r="D60" s="53" t="s">
        <v>296</v>
      </c>
      <c r="E60" s="53"/>
      <c r="F60" s="54">
        <v>2</v>
      </c>
      <c r="G60" s="66" t="s">
        <v>246</v>
      </c>
      <c r="H60" s="117">
        <v>82800</v>
      </c>
      <c r="I60" s="71">
        <f t="shared" si="5"/>
        <v>165600</v>
      </c>
      <c r="J60" s="367">
        <v>7.0000000000000007E-2</v>
      </c>
      <c r="K60" s="49">
        <f t="shared" si="6"/>
        <v>11592.000000000002</v>
      </c>
      <c r="L60" s="49">
        <f>I60+K60</f>
        <v>177192</v>
      </c>
      <c r="M60" s="72">
        <v>24</v>
      </c>
      <c r="N60" s="49">
        <f t="shared" si="4"/>
        <v>7383</v>
      </c>
      <c r="P60" s="56">
        <v>2025</v>
      </c>
    </row>
    <row r="61" spans="2:16" x14ac:dyDescent="0.3">
      <c r="B61" s="66">
        <v>41</v>
      </c>
      <c r="C61" s="66" t="s">
        <v>249</v>
      </c>
      <c r="D61" s="57" t="s">
        <v>297</v>
      </c>
      <c r="E61" s="46"/>
      <c r="F61" s="47">
        <v>1</v>
      </c>
      <c r="G61" s="47" t="s">
        <v>295</v>
      </c>
      <c r="H61" s="117">
        <v>387390</v>
      </c>
      <c r="I61" s="71">
        <f t="shared" si="5"/>
        <v>387390</v>
      </c>
      <c r="J61" s="367">
        <v>7.0000000000000007E-2</v>
      </c>
      <c r="K61" s="49">
        <f t="shared" si="6"/>
        <v>27117.300000000003</v>
      </c>
      <c r="L61" s="49">
        <v>0</v>
      </c>
      <c r="M61" s="72">
        <v>12</v>
      </c>
      <c r="N61" s="312">
        <f t="shared" si="4"/>
        <v>0</v>
      </c>
      <c r="P61" s="73" t="s">
        <v>259</v>
      </c>
    </row>
    <row r="62" spans="2:16" x14ac:dyDescent="0.3">
      <c r="B62" s="66">
        <v>42</v>
      </c>
      <c r="C62" s="66" t="s">
        <v>249</v>
      </c>
      <c r="D62" s="46" t="s">
        <v>298</v>
      </c>
      <c r="E62" s="46"/>
      <c r="F62" s="47">
        <v>1</v>
      </c>
      <c r="G62" s="66" t="s">
        <v>246</v>
      </c>
      <c r="H62" s="117">
        <v>50000</v>
      </c>
      <c r="I62" s="71">
        <f t="shared" si="5"/>
        <v>50000</v>
      </c>
      <c r="J62" s="367">
        <v>7.0000000000000007E-2</v>
      </c>
      <c r="K62" s="49">
        <f t="shared" si="6"/>
        <v>3500.0000000000005</v>
      </c>
      <c r="L62" s="49">
        <f t="shared" ref="L62:L77" si="7">I62+K62</f>
        <v>53500</v>
      </c>
      <c r="M62" s="72">
        <v>24</v>
      </c>
      <c r="N62" s="49">
        <f t="shared" si="4"/>
        <v>2229.1666666666665</v>
      </c>
      <c r="P62" s="56">
        <v>2025</v>
      </c>
    </row>
    <row r="63" spans="2:16" x14ac:dyDescent="0.3">
      <c r="B63" s="66">
        <v>43</v>
      </c>
      <c r="C63" s="66" t="s">
        <v>249</v>
      </c>
      <c r="D63" s="46" t="s">
        <v>299</v>
      </c>
      <c r="E63" s="58"/>
      <c r="F63" s="47">
        <v>1</v>
      </c>
      <c r="G63" s="66" t="s">
        <v>246</v>
      </c>
      <c r="H63" s="117">
        <v>45000</v>
      </c>
      <c r="I63" s="71">
        <f t="shared" si="5"/>
        <v>45000</v>
      </c>
      <c r="J63" s="367">
        <v>7.0000000000000007E-2</v>
      </c>
      <c r="K63" s="49">
        <f t="shared" si="6"/>
        <v>3150.0000000000005</v>
      </c>
      <c r="L63" s="49">
        <f t="shared" si="7"/>
        <v>48150</v>
      </c>
      <c r="M63" s="72">
        <v>24</v>
      </c>
      <c r="N63" s="49">
        <f t="shared" si="4"/>
        <v>2006.25</v>
      </c>
      <c r="P63" s="56">
        <v>2025</v>
      </c>
    </row>
    <row r="64" spans="2:16" x14ac:dyDescent="0.3">
      <c r="B64" s="66">
        <v>44</v>
      </c>
      <c r="C64" s="66" t="s">
        <v>249</v>
      </c>
      <c r="D64" s="46" t="s">
        <v>300</v>
      </c>
      <c r="E64" s="58"/>
      <c r="F64" s="47">
        <v>1</v>
      </c>
      <c r="G64" s="66" t="s">
        <v>246</v>
      </c>
      <c r="H64" s="117">
        <v>50000</v>
      </c>
      <c r="I64" s="71">
        <f t="shared" si="5"/>
        <v>50000</v>
      </c>
      <c r="J64" s="367">
        <v>7.0000000000000007E-2</v>
      </c>
      <c r="K64" s="49">
        <f t="shared" si="6"/>
        <v>3500.0000000000005</v>
      </c>
      <c r="L64" s="49">
        <f t="shared" si="7"/>
        <v>53500</v>
      </c>
      <c r="M64" s="72">
        <v>24</v>
      </c>
      <c r="N64" s="49">
        <f t="shared" si="4"/>
        <v>2229.1666666666665</v>
      </c>
      <c r="P64" s="56">
        <v>2025</v>
      </c>
    </row>
    <row r="65" spans="2:16" x14ac:dyDescent="0.3">
      <c r="B65" s="66">
        <v>45</v>
      </c>
      <c r="C65" s="66" t="s">
        <v>249</v>
      </c>
      <c r="D65" s="46" t="s">
        <v>301</v>
      </c>
      <c r="E65" s="46"/>
      <c r="F65" s="47">
        <v>1</v>
      </c>
      <c r="G65" s="66" t="s">
        <v>246</v>
      </c>
      <c r="H65" s="117">
        <v>45000</v>
      </c>
      <c r="I65" s="71">
        <f t="shared" si="5"/>
        <v>45000</v>
      </c>
      <c r="J65" s="367">
        <v>7.0000000000000007E-2</v>
      </c>
      <c r="K65" s="49">
        <f t="shared" si="6"/>
        <v>3150.0000000000005</v>
      </c>
      <c r="L65" s="49">
        <f t="shared" si="7"/>
        <v>48150</v>
      </c>
      <c r="M65" s="72">
        <v>24</v>
      </c>
      <c r="N65" s="49">
        <f t="shared" si="4"/>
        <v>2006.25</v>
      </c>
      <c r="P65" s="56">
        <v>2025</v>
      </c>
    </row>
    <row r="66" spans="2:16" x14ac:dyDescent="0.3">
      <c r="B66" s="66">
        <v>46</v>
      </c>
      <c r="C66" s="66" t="s">
        <v>249</v>
      </c>
      <c r="D66" s="46" t="s">
        <v>302</v>
      </c>
      <c r="E66" s="46"/>
      <c r="F66" s="47">
        <v>1</v>
      </c>
      <c r="G66" s="66" t="s">
        <v>246</v>
      </c>
      <c r="H66" s="117">
        <v>209790</v>
      </c>
      <c r="I66" s="71">
        <f t="shared" si="5"/>
        <v>209790</v>
      </c>
      <c r="J66" s="367">
        <v>7.0000000000000007E-2</v>
      </c>
      <c r="K66" s="49">
        <f t="shared" si="6"/>
        <v>14685.300000000001</v>
      </c>
      <c r="L66" s="49">
        <f t="shared" si="7"/>
        <v>224475.3</v>
      </c>
      <c r="M66" s="72">
        <v>12</v>
      </c>
      <c r="N66" s="49">
        <f t="shared" si="4"/>
        <v>18706.274999999998</v>
      </c>
      <c r="O66" s="56" t="s">
        <v>303</v>
      </c>
      <c r="P66" s="56">
        <v>2025</v>
      </c>
    </row>
    <row r="67" spans="2:16" x14ac:dyDescent="0.3">
      <c r="B67" s="66">
        <v>47</v>
      </c>
      <c r="C67" s="66" t="s">
        <v>249</v>
      </c>
      <c r="D67" s="46" t="s">
        <v>304</v>
      </c>
      <c r="E67" s="46"/>
      <c r="F67" s="47">
        <v>2</v>
      </c>
      <c r="G67" s="66" t="s">
        <v>243</v>
      </c>
      <c r="H67" s="117">
        <v>1108890</v>
      </c>
      <c r="I67" s="71">
        <f t="shared" si="5"/>
        <v>2217780</v>
      </c>
      <c r="J67" s="367">
        <v>7.0000000000000007E-2</v>
      </c>
      <c r="K67" s="49">
        <f t="shared" si="6"/>
        <v>155244.6</v>
      </c>
      <c r="L67" s="49">
        <f t="shared" si="7"/>
        <v>2373024.6</v>
      </c>
      <c r="M67" s="72">
        <v>24</v>
      </c>
      <c r="N67" s="49">
        <f t="shared" si="4"/>
        <v>98876.025000000009</v>
      </c>
      <c r="P67" s="56">
        <v>2025</v>
      </c>
    </row>
    <row r="68" spans="2:16" x14ac:dyDescent="0.3">
      <c r="B68" s="66">
        <v>48</v>
      </c>
      <c r="C68" s="66" t="s">
        <v>249</v>
      </c>
      <c r="D68" s="46" t="s">
        <v>305</v>
      </c>
      <c r="E68" s="46"/>
      <c r="F68" s="47">
        <v>2</v>
      </c>
      <c r="G68" s="66" t="s">
        <v>246</v>
      </c>
      <c r="H68" s="117">
        <v>104400</v>
      </c>
      <c r="I68" s="71">
        <f t="shared" si="5"/>
        <v>208800</v>
      </c>
      <c r="J68" s="367">
        <v>7.0000000000000007E-2</v>
      </c>
      <c r="K68" s="49">
        <f t="shared" si="6"/>
        <v>14616.000000000002</v>
      </c>
      <c r="L68" s="49">
        <f t="shared" si="7"/>
        <v>223416</v>
      </c>
      <c r="M68" s="72">
        <v>24</v>
      </c>
      <c r="N68" s="49">
        <f t="shared" si="4"/>
        <v>9309</v>
      </c>
      <c r="P68" s="56">
        <v>2025</v>
      </c>
    </row>
    <row r="69" spans="2:16" x14ac:dyDescent="0.3">
      <c r="B69" s="66">
        <v>49</v>
      </c>
      <c r="C69" s="66" t="s">
        <v>249</v>
      </c>
      <c r="D69" s="46" t="s">
        <v>306</v>
      </c>
      <c r="E69" s="46"/>
      <c r="F69" s="47">
        <v>2</v>
      </c>
      <c r="G69" s="47" t="s">
        <v>295</v>
      </c>
      <c r="H69" s="119">
        <v>27000</v>
      </c>
      <c r="I69" s="71">
        <f t="shared" si="5"/>
        <v>54000</v>
      </c>
      <c r="J69" s="367">
        <v>7.0000000000000007E-2</v>
      </c>
      <c r="K69" s="49">
        <f t="shared" si="6"/>
        <v>3780.0000000000005</v>
      </c>
      <c r="L69" s="49">
        <f t="shared" si="7"/>
        <v>57780</v>
      </c>
      <c r="M69" s="72">
        <v>24</v>
      </c>
      <c r="N69" s="49">
        <f t="shared" si="4"/>
        <v>2407.5</v>
      </c>
      <c r="P69" s="56">
        <v>2025</v>
      </c>
    </row>
    <row r="70" spans="2:16" x14ac:dyDescent="0.3">
      <c r="B70" s="66">
        <v>50</v>
      </c>
      <c r="C70" s="66" t="s">
        <v>249</v>
      </c>
      <c r="D70" s="46" t="s">
        <v>307</v>
      </c>
      <c r="E70" s="46"/>
      <c r="F70" s="47">
        <v>3</v>
      </c>
      <c r="G70" s="66" t="s">
        <v>246</v>
      </c>
      <c r="H70" s="117">
        <v>709290</v>
      </c>
      <c r="I70" s="71">
        <f t="shared" si="5"/>
        <v>2127870</v>
      </c>
      <c r="J70" s="367">
        <v>7.0000000000000007E-2</v>
      </c>
      <c r="K70" s="49">
        <f t="shared" si="6"/>
        <v>148950.90000000002</v>
      </c>
      <c r="L70" s="49">
        <f t="shared" si="7"/>
        <v>2276820.9</v>
      </c>
      <c r="M70" s="72">
        <v>24</v>
      </c>
      <c r="N70" s="49">
        <f t="shared" si="4"/>
        <v>94867.537499999991</v>
      </c>
      <c r="P70" s="56">
        <v>2025</v>
      </c>
    </row>
    <row r="71" spans="2:16" x14ac:dyDescent="0.3">
      <c r="B71" s="66">
        <v>51</v>
      </c>
      <c r="C71" s="66" t="s">
        <v>249</v>
      </c>
      <c r="D71" s="46" t="s">
        <v>308</v>
      </c>
      <c r="E71" s="46"/>
      <c r="F71" s="47">
        <v>3</v>
      </c>
      <c r="G71" s="66" t="s">
        <v>246</v>
      </c>
      <c r="H71" s="117">
        <v>254190</v>
      </c>
      <c r="I71" s="71">
        <f t="shared" si="5"/>
        <v>762570</v>
      </c>
      <c r="J71" s="367">
        <v>7.0000000000000007E-2</v>
      </c>
      <c r="K71" s="49">
        <f t="shared" si="6"/>
        <v>53379.9</v>
      </c>
      <c r="L71" s="49">
        <f t="shared" si="7"/>
        <v>815949.9</v>
      </c>
      <c r="M71" s="72">
        <v>24</v>
      </c>
      <c r="N71" s="49">
        <f t="shared" si="4"/>
        <v>33997.912499999999</v>
      </c>
      <c r="O71" s="56" t="s">
        <v>309</v>
      </c>
      <c r="P71" s="56" t="s">
        <v>310</v>
      </c>
    </row>
    <row r="72" spans="2:16" x14ac:dyDescent="0.3">
      <c r="B72" s="66">
        <v>52</v>
      </c>
      <c r="C72" s="69" t="s">
        <v>249</v>
      </c>
      <c r="D72" s="55" t="s">
        <v>311</v>
      </c>
      <c r="E72" s="55"/>
      <c r="F72" s="59">
        <v>2</v>
      </c>
      <c r="G72" s="66" t="s">
        <v>246</v>
      </c>
      <c r="H72" s="117">
        <v>187590</v>
      </c>
      <c r="I72" s="71">
        <f t="shared" si="5"/>
        <v>375180</v>
      </c>
      <c r="J72" s="367">
        <v>7.0000000000000007E-2</v>
      </c>
      <c r="K72" s="49">
        <f t="shared" si="6"/>
        <v>26262.600000000002</v>
      </c>
      <c r="L72" s="49">
        <f t="shared" si="7"/>
        <v>401442.6</v>
      </c>
      <c r="M72" s="72">
        <v>12</v>
      </c>
      <c r="N72" s="49">
        <f t="shared" si="4"/>
        <v>33453.549999999996</v>
      </c>
      <c r="O72" s="114" t="s">
        <v>312</v>
      </c>
      <c r="P72" s="56">
        <v>2025</v>
      </c>
    </row>
    <row r="73" spans="2:16" x14ac:dyDescent="0.3">
      <c r="B73" s="66">
        <v>53</v>
      </c>
      <c r="C73" s="70" t="s">
        <v>249</v>
      </c>
      <c r="D73" s="43" t="s">
        <v>313</v>
      </c>
      <c r="E73" s="43"/>
      <c r="F73" s="41">
        <v>2</v>
      </c>
      <c r="G73" s="66" t="s">
        <v>246</v>
      </c>
      <c r="H73" s="117">
        <v>267600</v>
      </c>
      <c r="I73" s="71">
        <f t="shared" ref="I73:I76" si="8">F73*H73</f>
        <v>535200</v>
      </c>
      <c r="J73" s="367">
        <v>7.0000000000000007E-2</v>
      </c>
      <c r="K73" s="49">
        <f t="shared" si="6"/>
        <v>37464</v>
      </c>
      <c r="L73" s="49">
        <f t="shared" si="7"/>
        <v>572664</v>
      </c>
      <c r="M73" s="72">
        <v>12</v>
      </c>
      <c r="N73" s="49">
        <f t="shared" si="4"/>
        <v>47722</v>
      </c>
      <c r="P73" s="56">
        <v>2025</v>
      </c>
    </row>
    <row r="74" spans="2:16" x14ac:dyDescent="0.3">
      <c r="B74" s="66">
        <v>54</v>
      </c>
      <c r="C74" s="70" t="s">
        <v>249</v>
      </c>
      <c r="D74" s="43" t="s">
        <v>314</v>
      </c>
      <c r="E74" s="43"/>
      <c r="F74" s="41">
        <v>2</v>
      </c>
      <c r="G74" s="66" t="s">
        <v>246</v>
      </c>
      <c r="H74" s="117">
        <v>102000</v>
      </c>
      <c r="I74" s="71">
        <f>F74*H74</f>
        <v>204000</v>
      </c>
      <c r="J74" s="367">
        <v>7.0000000000000007E-2</v>
      </c>
      <c r="K74" s="49">
        <f t="shared" si="6"/>
        <v>14280.000000000002</v>
      </c>
      <c r="L74" s="49">
        <f t="shared" si="7"/>
        <v>218280</v>
      </c>
      <c r="M74" s="72">
        <v>12</v>
      </c>
      <c r="N74" s="49">
        <f t="shared" si="4"/>
        <v>18190</v>
      </c>
      <c r="P74" s="56">
        <v>2025</v>
      </c>
    </row>
    <row r="75" spans="2:16" x14ac:dyDescent="0.3">
      <c r="B75" s="66">
        <v>55</v>
      </c>
      <c r="C75" s="70" t="s">
        <v>249</v>
      </c>
      <c r="D75" s="43" t="s">
        <v>315</v>
      </c>
      <c r="E75" s="43"/>
      <c r="F75" s="41">
        <v>2</v>
      </c>
      <c r="G75" s="41" t="s">
        <v>295</v>
      </c>
      <c r="H75" s="117">
        <v>1470600</v>
      </c>
      <c r="I75" s="71">
        <f t="shared" si="8"/>
        <v>2941200</v>
      </c>
      <c r="J75" s="367">
        <v>7.0000000000000007E-2</v>
      </c>
      <c r="K75" s="49">
        <f t="shared" si="6"/>
        <v>205884.00000000003</v>
      </c>
      <c r="L75" s="49">
        <f t="shared" si="7"/>
        <v>3147084</v>
      </c>
      <c r="M75" s="72">
        <v>24</v>
      </c>
      <c r="N75" s="49">
        <f t="shared" si="4"/>
        <v>131128.5</v>
      </c>
      <c r="O75" s="114"/>
      <c r="P75" s="56">
        <v>2025</v>
      </c>
    </row>
    <row r="76" spans="2:16" x14ac:dyDescent="0.3">
      <c r="B76" s="66">
        <v>56</v>
      </c>
      <c r="C76" s="70" t="s">
        <v>249</v>
      </c>
      <c r="D76" s="43" t="s">
        <v>316</v>
      </c>
      <c r="E76" s="43"/>
      <c r="F76" s="41">
        <v>1</v>
      </c>
      <c r="G76" s="66" t="s">
        <v>246</v>
      </c>
      <c r="H76" s="117">
        <v>1219890</v>
      </c>
      <c r="I76" s="71">
        <f t="shared" si="8"/>
        <v>1219890</v>
      </c>
      <c r="J76" s="367">
        <v>7.0000000000000007E-2</v>
      </c>
      <c r="K76" s="49">
        <f t="shared" si="6"/>
        <v>85392.3</v>
      </c>
      <c r="L76" s="49">
        <f t="shared" si="7"/>
        <v>1305282.3</v>
      </c>
      <c r="M76" s="72">
        <v>12</v>
      </c>
      <c r="N76" s="49">
        <f t="shared" si="4"/>
        <v>108773.52500000001</v>
      </c>
      <c r="P76" s="56">
        <v>2025</v>
      </c>
    </row>
    <row r="77" spans="2:16" x14ac:dyDescent="0.3">
      <c r="B77" s="66">
        <v>57</v>
      </c>
      <c r="C77" s="70" t="s">
        <v>249</v>
      </c>
      <c r="D77" s="43" t="s">
        <v>317</v>
      </c>
      <c r="E77" s="43"/>
      <c r="F77" s="41">
        <v>5</v>
      </c>
      <c r="G77" s="66" t="s">
        <v>246</v>
      </c>
      <c r="H77" s="123">
        <v>301893</v>
      </c>
      <c r="I77" s="71">
        <f t="shared" ref="I77" si="9">F77*H77</f>
        <v>1509465</v>
      </c>
      <c r="J77" s="367">
        <v>7.0000000000000007E-2</v>
      </c>
      <c r="K77" s="49">
        <f t="shared" ref="K77" si="10">I77*J77</f>
        <v>105662.55</v>
      </c>
      <c r="L77" s="49">
        <f t="shared" si="7"/>
        <v>1615127.55</v>
      </c>
      <c r="M77" s="72">
        <v>6</v>
      </c>
      <c r="N77" s="49">
        <f t="shared" ref="N77" si="11">L77/M77</f>
        <v>269187.92499999999</v>
      </c>
      <c r="P77" s="56">
        <v>2025</v>
      </c>
    </row>
    <row r="78" spans="2:16" x14ac:dyDescent="0.3">
      <c r="B78" s="149"/>
      <c r="C78" s="150"/>
      <c r="D78" s="151"/>
      <c r="E78" s="151"/>
      <c r="F78" s="150"/>
      <c r="G78" s="150"/>
      <c r="H78" s="152"/>
      <c r="I78" s="153">
        <f>SUM(I21:I76)</f>
        <v>22694550</v>
      </c>
      <c r="J78" s="154"/>
      <c r="K78" s="153">
        <f>SUM(K21:K76)</f>
        <v>1588618.5000000002</v>
      </c>
      <c r="L78" s="153">
        <f>SUM(L21:L76)</f>
        <v>14452918</v>
      </c>
      <c r="M78" s="151"/>
      <c r="N78" s="368">
        <f>SUM(N21:N77)</f>
        <v>1023528.1166666667</v>
      </c>
    </row>
    <row r="79" spans="2:16" s="132" customFormat="1" x14ac:dyDescent="0.3">
      <c r="B79" s="131"/>
      <c r="C79" s="131"/>
      <c r="F79" s="133"/>
      <c r="G79" s="133"/>
      <c r="H79" s="134"/>
      <c r="I79" s="135"/>
      <c r="J79" s="136"/>
      <c r="K79" s="135"/>
      <c r="L79" s="135"/>
      <c r="N79" s="135"/>
    </row>
    <row r="80" spans="2:16" x14ac:dyDescent="0.3">
      <c r="B80" s="158" t="s">
        <v>318</v>
      </c>
      <c r="C80" s="148"/>
      <c r="D80" s="51"/>
      <c r="E80" s="51"/>
      <c r="F80" s="51"/>
      <c r="G80" s="51"/>
      <c r="H80" s="118"/>
      <c r="I80" s="51"/>
      <c r="J80" s="568"/>
      <c r="K80" s="568"/>
      <c r="L80" s="568"/>
      <c r="M80" s="51"/>
      <c r="N80" s="52"/>
    </row>
    <row r="81" spans="2:16" ht="14.7" customHeight="1" x14ac:dyDescent="0.3">
      <c r="B81" s="569" t="s">
        <v>45</v>
      </c>
      <c r="C81" s="569" t="s">
        <v>227</v>
      </c>
      <c r="D81" s="569" t="s">
        <v>228</v>
      </c>
      <c r="E81" s="569" t="s">
        <v>229</v>
      </c>
      <c r="F81" s="569" t="s">
        <v>219</v>
      </c>
      <c r="G81" s="569" t="s">
        <v>224</v>
      </c>
      <c r="H81" s="570" t="s">
        <v>220</v>
      </c>
      <c r="I81" s="573" t="s">
        <v>230</v>
      </c>
      <c r="J81" s="574" t="s">
        <v>231</v>
      </c>
      <c r="K81" s="574"/>
      <c r="L81" s="575" t="s">
        <v>232</v>
      </c>
      <c r="M81" s="578" t="s">
        <v>233</v>
      </c>
      <c r="N81" s="573" t="s">
        <v>234</v>
      </c>
    </row>
    <row r="82" spans="2:16" ht="15" customHeight="1" x14ac:dyDescent="0.3">
      <c r="B82" s="569"/>
      <c r="C82" s="569"/>
      <c r="D82" s="569"/>
      <c r="E82" s="569"/>
      <c r="F82" s="569"/>
      <c r="G82" s="569"/>
      <c r="H82" s="559"/>
      <c r="I82" s="563"/>
      <c r="J82" s="143" t="s">
        <v>44</v>
      </c>
      <c r="K82" s="144" t="s">
        <v>234</v>
      </c>
      <c r="L82" s="575"/>
      <c r="M82" s="578"/>
      <c r="N82" s="563"/>
    </row>
    <row r="83" spans="2:16" x14ac:dyDescent="0.3">
      <c r="B83" s="47">
        <v>1</v>
      </c>
      <c r="C83" s="47" t="s">
        <v>151</v>
      </c>
      <c r="D83" s="53" t="s">
        <v>319</v>
      </c>
      <c r="E83" s="53" t="s">
        <v>320</v>
      </c>
      <c r="F83" s="54">
        <v>3</v>
      </c>
      <c r="G83" s="61" t="s">
        <v>246</v>
      </c>
      <c r="H83" s="48">
        <v>390000</v>
      </c>
      <c r="I83" s="62">
        <f t="shared" ref="I83:I138" si="12">F83*H83</f>
        <v>1170000</v>
      </c>
      <c r="J83" s="367">
        <v>7.0000000000000007E-2</v>
      </c>
      <c r="K83" s="49">
        <f t="shared" ref="K83:K138" si="13">I83*J83</f>
        <v>81900.000000000015</v>
      </c>
      <c r="L83" s="49">
        <v>0</v>
      </c>
      <c r="M83" s="63">
        <v>24</v>
      </c>
      <c r="N83" s="312">
        <f t="shared" ref="N83:N138" si="14">L83/M83</f>
        <v>0</v>
      </c>
      <c r="O83" s="56" t="s">
        <v>321</v>
      </c>
      <c r="P83" s="56">
        <v>2024</v>
      </c>
    </row>
    <row r="84" spans="2:16" x14ac:dyDescent="0.3">
      <c r="B84" s="60">
        <v>2</v>
      </c>
      <c r="C84" s="60" t="s">
        <v>151</v>
      </c>
      <c r="D84" s="53" t="s">
        <v>322</v>
      </c>
      <c r="E84" s="53" t="s">
        <v>323</v>
      </c>
      <c r="F84" s="54">
        <v>3</v>
      </c>
      <c r="G84" s="61" t="s">
        <v>246</v>
      </c>
      <c r="H84" s="48">
        <v>62000</v>
      </c>
      <c r="I84" s="62">
        <f t="shared" si="12"/>
        <v>186000</v>
      </c>
      <c r="J84" s="367">
        <v>7.0000000000000007E-2</v>
      </c>
      <c r="K84" s="49">
        <f t="shared" si="13"/>
        <v>13020.000000000002</v>
      </c>
      <c r="L84" s="49">
        <f t="shared" ref="L84:L138" si="15">I84+K84</f>
        <v>199020</v>
      </c>
      <c r="M84" s="63">
        <v>1</v>
      </c>
      <c r="N84" s="49">
        <f t="shared" si="14"/>
        <v>199020</v>
      </c>
      <c r="O84" s="121" t="s">
        <v>324</v>
      </c>
      <c r="P84" s="56">
        <v>2025</v>
      </c>
    </row>
    <row r="85" spans="2:16" x14ac:dyDescent="0.3">
      <c r="B85" s="47">
        <v>3</v>
      </c>
      <c r="C85" s="47" t="s">
        <v>151</v>
      </c>
      <c r="D85" s="53" t="s">
        <v>325</v>
      </c>
      <c r="E85" s="53" t="s">
        <v>326</v>
      </c>
      <c r="F85" s="54">
        <v>3</v>
      </c>
      <c r="G85" s="61" t="s">
        <v>246</v>
      </c>
      <c r="H85" s="48">
        <v>235500</v>
      </c>
      <c r="I85" s="62">
        <f t="shared" si="12"/>
        <v>706500</v>
      </c>
      <c r="J85" s="367">
        <v>7.0000000000000007E-2</v>
      </c>
      <c r="K85" s="49">
        <f t="shared" si="13"/>
        <v>49455.000000000007</v>
      </c>
      <c r="L85" s="49">
        <f t="shared" si="15"/>
        <v>755955</v>
      </c>
      <c r="M85" s="63">
        <v>12</v>
      </c>
      <c r="N85" s="49">
        <f t="shared" si="14"/>
        <v>62996.25</v>
      </c>
      <c r="O85" s="121" t="s">
        <v>327</v>
      </c>
      <c r="P85" s="56">
        <v>2025</v>
      </c>
    </row>
    <row r="86" spans="2:16" x14ac:dyDescent="0.3">
      <c r="B86" s="60">
        <v>4</v>
      </c>
      <c r="C86" s="60" t="s">
        <v>151</v>
      </c>
      <c r="D86" s="53" t="s">
        <v>328</v>
      </c>
      <c r="E86" s="53" t="s">
        <v>329</v>
      </c>
      <c r="F86" s="54">
        <v>3</v>
      </c>
      <c r="G86" s="61" t="s">
        <v>246</v>
      </c>
      <c r="H86" s="48">
        <v>470000</v>
      </c>
      <c r="I86" s="62">
        <f t="shared" si="12"/>
        <v>1410000</v>
      </c>
      <c r="J86" s="367">
        <v>7.0000000000000007E-2</v>
      </c>
      <c r="K86" s="49">
        <f t="shared" si="13"/>
        <v>98700.000000000015</v>
      </c>
      <c r="L86" s="62">
        <v>0</v>
      </c>
      <c r="M86" s="63">
        <v>24</v>
      </c>
      <c r="N86" s="312">
        <f t="shared" si="14"/>
        <v>0</v>
      </c>
      <c r="O86" s="121" t="s">
        <v>330</v>
      </c>
      <c r="P86" s="56">
        <v>2024</v>
      </c>
    </row>
    <row r="87" spans="2:16" x14ac:dyDescent="0.3">
      <c r="B87" s="47">
        <v>5</v>
      </c>
      <c r="C87" s="47" t="s">
        <v>151</v>
      </c>
      <c r="D87" s="53" t="s">
        <v>331</v>
      </c>
      <c r="E87" s="53" t="s">
        <v>332</v>
      </c>
      <c r="F87" s="54">
        <v>5</v>
      </c>
      <c r="G87" s="61" t="s">
        <v>246</v>
      </c>
      <c r="H87" s="48">
        <v>15000</v>
      </c>
      <c r="I87" s="62">
        <f t="shared" si="12"/>
        <v>75000</v>
      </c>
      <c r="J87" s="367">
        <v>7.0000000000000007E-2</v>
      </c>
      <c r="K87" s="49">
        <f t="shared" si="13"/>
        <v>5250.0000000000009</v>
      </c>
      <c r="L87" s="49">
        <f t="shared" si="15"/>
        <v>80250</v>
      </c>
      <c r="M87" s="63">
        <v>2</v>
      </c>
      <c r="N87" s="49">
        <f t="shared" si="14"/>
        <v>40125</v>
      </c>
      <c r="O87" s="121" t="s">
        <v>333</v>
      </c>
      <c r="P87" s="56">
        <v>2025</v>
      </c>
    </row>
    <row r="88" spans="2:16" x14ac:dyDescent="0.3">
      <c r="B88" s="60">
        <v>6</v>
      </c>
      <c r="C88" s="60" t="s">
        <v>151</v>
      </c>
      <c r="D88" s="53" t="s">
        <v>334</v>
      </c>
      <c r="E88" s="53" t="s">
        <v>335</v>
      </c>
      <c r="F88" s="54">
        <v>4</v>
      </c>
      <c r="G88" s="61" t="s">
        <v>246</v>
      </c>
      <c r="H88" s="48">
        <v>35000</v>
      </c>
      <c r="I88" s="62">
        <f t="shared" si="12"/>
        <v>140000</v>
      </c>
      <c r="J88" s="367">
        <v>7.0000000000000007E-2</v>
      </c>
      <c r="K88" s="49">
        <f t="shared" si="13"/>
        <v>9800.0000000000018</v>
      </c>
      <c r="L88" s="49">
        <f t="shared" si="15"/>
        <v>149800</v>
      </c>
      <c r="M88" s="63">
        <v>3</v>
      </c>
      <c r="N88" s="49">
        <f t="shared" si="14"/>
        <v>49933.333333333336</v>
      </c>
      <c r="O88" s="121" t="s">
        <v>336</v>
      </c>
      <c r="P88" s="56">
        <v>2025</v>
      </c>
    </row>
    <row r="89" spans="2:16" x14ac:dyDescent="0.3">
      <c r="B89" s="47">
        <v>7</v>
      </c>
      <c r="C89" s="47" t="s">
        <v>151</v>
      </c>
      <c r="D89" s="53" t="s">
        <v>337</v>
      </c>
      <c r="E89" s="53" t="s">
        <v>338</v>
      </c>
      <c r="F89" s="54">
        <v>3</v>
      </c>
      <c r="G89" s="61" t="s">
        <v>246</v>
      </c>
      <c r="H89" s="48">
        <v>1820000</v>
      </c>
      <c r="I89" s="62">
        <f t="shared" si="12"/>
        <v>5460000</v>
      </c>
      <c r="J89" s="367">
        <v>7.0000000000000007E-2</v>
      </c>
      <c r="K89" s="49">
        <f t="shared" si="13"/>
        <v>382200.00000000006</v>
      </c>
      <c r="L89" s="62">
        <v>0</v>
      </c>
      <c r="M89" s="63">
        <v>24</v>
      </c>
      <c r="N89" s="312">
        <f t="shared" si="14"/>
        <v>0</v>
      </c>
      <c r="O89" s="228" t="s">
        <v>321</v>
      </c>
      <c r="P89" s="56">
        <v>2024</v>
      </c>
    </row>
    <row r="90" spans="2:16" x14ac:dyDescent="0.3">
      <c r="B90" s="60">
        <v>8</v>
      </c>
      <c r="C90" s="60" t="s">
        <v>151</v>
      </c>
      <c r="D90" s="53" t="s">
        <v>339</v>
      </c>
      <c r="E90" s="53" t="s">
        <v>340</v>
      </c>
      <c r="F90" s="54">
        <v>3</v>
      </c>
      <c r="G90" s="61" t="s">
        <v>246</v>
      </c>
      <c r="H90" s="48">
        <v>1200000</v>
      </c>
      <c r="I90" s="62">
        <f t="shared" si="12"/>
        <v>3600000</v>
      </c>
      <c r="J90" s="367">
        <v>7.0000000000000007E-2</v>
      </c>
      <c r="K90" s="49">
        <f t="shared" si="13"/>
        <v>252000.00000000003</v>
      </c>
      <c r="L90" s="49">
        <f t="shared" si="15"/>
        <v>3852000</v>
      </c>
      <c r="M90" s="63">
        <v>12</v>
      </c>
      <c r="N90" s="49">
        <f t="shared" si="14"/>
        <v>321000</v>
      </c>
      <c r="O90" s="121" t="s">
        <v>341</v>
      </c>
      <c r="P90" s="56">
        <v>2025</v>
      </c>
    </row>
    <row r="91" spans="2:16" x14ac:dyDescent="0.3">
      <c r="B91" s="47">
        <v>9</v>
      </c>
      <c r="C91" s="47" t="s">
        <v>151</v>
      </c>
      <c r="D91" s="53" t="s">
        <v>342</v>
      </c>
      <c r="E91" s="53" t="s">
        <v>343</v>
      </c>
      <c r="F91" s="54">
        <v>3</v>
      </c>
      <c r="G91" s="61" t="s">
        <v>246</v>
      </c>
      <c r="H91" s="48">
        <v>24000</v>
      </c>
      <c r="I91" s="62">
        <f t="shared" si="12"/>
        <v>72000</v>
      </c>
      <c r="J91" s="367">
        <v>7.0000000000000007E-2</v>
      </c>
      <c r="K91" s="49">
        <f t="shared" si="13"/>
        <v>5040.0000000000009</v>
      </c>
      <c r="L91" s="49">
        <f t="shared" si="15"/>
        <v>77040</v>
      </c>
      <c r="M91" s="63">
        <v>12</v>
      </c>
      <c r="N91" s="49">
        <f t="shared" si="14"/>
        <v>6420</v>
      </c>
      <c r="O91" s="121" t="s">
        <v>344</v>
      </c>
      <c r="P91" s="56">
        <v>2025</v>
      </c>
    </row>
    <row r="92" spans="2:16" x14ac:dyDescent="0.3">
      <c r="B92" s="60">
        <v>10</v>
      </c>
      <c r="C92" s="60" t="s">
        <v>151</v>
      </c>
      <c r="D92" s="53" t="s">
        <v>345</v>
      </c>
      <c r="E92" s="53" t="s">
        <v>346</v>
      </c>
      <c r="F92" s="54">
        <v>3</v>
      </c>
      <c r="G92" s="61" t="s">
        <v>246</v>
      </c>
      <c r="H92" s="48">
        <v>535000</v>
      </c>
      <c r="I92" s="62">
        <f t="shared" si="12"/>
        <v>1605000</v>
      </c>
      <c r="J92" s="367">
        <v>7.0000000000000007E-2</v>
      </c>
      <c r="K92" s="49">
        <f t="shared" si="13"/>
        <v>112350.00000000001</v>
      </c>
      <c r="L92" s="62">
        <v>0</v>
      </c>
      <c r="M92" s="63">
        <v>24</v>
      </c>
      <c r="N92" s="312">
        <f t="shared" si="14"/>
        <v>0</v>
      </c>
      <c r="O92" s="121" t="s">
        <v>347</v>
      </c>
      <c r="P92" s="56">
        <v>2024</v>
      </c>
    </row>
    <row r="93" spans="2:16" x14ac:dyDescent="0.3">
      <c r="B93" s="47">
        <v>11</v>
      </c>
      <c r="C93" s="47" t="s">
        <v>151</v>
      </c>
      <c r="D93" s="53" t="s">
        <v>348</v>
      </c>
      <c r="E93" s="53" t="s">
        <v>349</v>
      </c>
      <c r="F93" s="54">
        <v>3</v>
      </c>
      <c r="G93" s="61" t="s">
        <v>246</v>
      </c>
      <c r="H93" s="48">
        <v>166000</v>
      </c>
      <c r="I93" s="62">
        <f t="shared" si="12"/>
        <v>498000</v>
      </c>
      <c r="J93" s="367">
        <v>7.0000000000000007E-2</v>
      </c>
      <c r="K93" s="49">
        <f t="shared" si="13"/>
        <v>34860</v>
      </c>
      <c r="L93" s="62">
        <v>0</v>
      </c>
      <c r="M93" s="63">
        <v>12</v>
      </c>
      <c r="N93" s="312">
        <f t="shared" si="14"/>
        <v>0</v>
      </c>
      <c r="O93" s="121" t="s">
        <v>350</v>
      </c>
      <c r="P93" s="56">
        <v>2024</v>
      </c>
    </row>
    <row r="94" spans="2:16" x14ac:dyDescent="0.3">
      <c r="B94" s="60">
        <v>12</v>
      </c>
      <c r="C94" s="60" t="s">
        <v>151</v>
      </c>
      <c r="D94" s="53" t="s">
        <v>351</v>
      </c>
      <c r="E94" s="53" t="s">
        <v>352</v>
      </c>
      <c r="F94" s="54">
        <v>2</v>
      </c>
      <c r="G94" s="61" t="s">
        <v>246</v>
      </c>
      <c r="H94" s="48">
        <v>40000</v>
      </c>
      <c r="I94" s="62">
        <f t="shared" si="12"/>
        <v>80000</v>
      </c>
      <c r="J94" s="367">
        <v>7.0000000000000007E-2</v>
      </c>
      <c r="K94" s="49">
        <f t="shared" si="13"/>
        <v>5600.0000000000009</v>
      </c>
      <c r="L94" s="49">
        <f t="shared" si="15"/>
        <v>85600</v>
      </c>
      <c r="M94" s="63">
        <v>12</v>
      </c>
      <c r="N94" s="49">
        <f t="shared" si="14"/>
        <v>7133.333333333333</v>
      </c>
      <c r="O94" s="121" t="s">
        <v>353</v>
      </c>
      <c r="P94" s="56">
        <v>2025</v>
      </c>
    </row>
    <row r="95" spans="2:16" x14ac:dyDescent="0.3">
      <c r="B95" s="47">
        <v>13</v>
      </c>
      <c r="C95" s="47" t="s">
        <v>151</v>
      </c>
      <c r="D95" s="53" t="s">
        <v>354</v>
      </c>
      <c r="E95" s="53" t="s">
        <v>355</v>
      </c>
      <c r="F95" s="54">
        <v>1</v>
      </c>
      <c r="G95" s="61" t="s">
        <v>246</v>
      </c>
      <c r="H95" s="48">
        <v>200000</v>
      </c>
      <c r="I95" s="62">
        <f t="shared" si="12"/>
        <v>200000</v>
      </c>
      <c r="J95" s="367">
        <v>7.0000000000000007E-2</v>
      </c>
      <c r="K95" s="49">
        <f t="shared" si="13"/>
        <v>14000.000000000002</v>
      </c>
      <c r="L95" s="62">
        <v>0</v>
      </c>
      <c r="M95" s="63">
        <v>12</v>
      </c>
      <c r="N95" s="312">
        <f t="shared" si="14"/>
        <v>0</v>
      </c>
      <c r="O95" s="121" t="s">
        <v>356</v>
      </c>
      <c r="P95" s="56">
        <v>2024</v>
      </c>
    </row>
    <row r="96" spans="2:16" x14ac:dyDescent="0.3">
      <c r="B96" s="60">
        <v>14</v>
      </c>
      <c r="C96" s="60" t="s">
        <v>151</v>
      </c>
      <c r="D96" s="53" t="s">
        <v>354</v>
      </c>
      <c r="E96" s="53" t="s">
        <v>357</v>
      </c>
      <c r="F96" s="54">
        <v>1</v>
      </c>
      <c r="G96" s="61" t="s">
        <v>246</v>
      </c>
      <c r="H96" s="48">
        <v>650000</v>
      </c>
      <c r="I96" s="62">
        <f t="shared" si="12"/>
        <v>650000</v>
      </c>
      <c r="J96" s="367">
        <v>7.0000000000000007E-2</v>
      </c>
      <c r="K96" s="49">
        <f t="shared" si="13"/>
        <v>45500.000000000007</v>
      </c>
      <c r="L96" s="62">
        <v>0</v>
      </c>
      <c r="M96" s="63">
        <v>12</v>
      </c>
      <c r="N96" s="312">
        <f t="shared" si="14"/>
        <v>0</v>
      </c>
      <c r="O96" s="121" t="s">
        <v>358</v>
      </c>
      <c r="P96" s="56">
        <v>2024</v>
      </c>
    </row>
    <row r="97" spans="2:16" x14ac:dyDescent="0.3">
      <c r="B97" s="47">
        <v>15</v>
      </c>
      <c r="C97" s="47" t="s">
        <v>151</v>
      </c>
      <c r="D97" s="53" t="s">
        <v>354</v>
      </c>
      <c r="E97" s="53" t="s">
        <v>359</v>
      </c>
      <c r="F97" s="54">
        <v>1</v>
      </c>
      <c r="G97" s="61" t="s">
        <v>246</v>
      </c>
      <c r="H97" s="48">
        <v>290000</v>
      </c>
      <c r="I97" s="62">
        <f t="shared" si="12"/>
        <v>290000</v>
      </c>
      <c r="J97" s="367">
        <v>7.0000000000000007E-2</v>
      </c>
      <c r="K97" s="49">
        <f t="shared" si="13"/>
        <v>20300.000000000004</v>
      </c>
      <c r="L97" s="62">
        <v>0</v>
      </c>
      <c r="M97" s="63">
        <v>12</v>
      </c>
      <c r="N97" s="312">
        <f t="shared" si="14"/>
        <v>0</v>
      </c>
      <c r="O97" s="121" t="s">
        <v>360</v>
      </c>
      <c r="P97" s="56">
        <v>2024</v>
      </c>
    </row>
    <row r="98" spans="2:16" x14ac:dyDescent="0.3">
      <c r="B98" s="60">
        <v>16</v>
      </c>
      <c r="C98" s="60" t="s">
        <v>151</v>
      </c>
      <c r="D98" s="53" t="s">
        <v>255</v>
      </c>
      <c r="E98" s="53" t="s">
        <v>361</v>
      </c>
      <c r="F98" s="54">
        <v>5</v>
      </c>
      <c r="G98" s="61" t="s">
        <v>246</v>
      </c>
      <c r="H98" s="48">
        <v>150000</v>
      </c>
      <c r="I98" s="62">
        <f t="shared" si="12"/>
        <v>750000</v>
      </c>
      <c r="J98" s="367">
        <v>7.0000000000000007E-2</v>
      </c>
      <c r="K98" s="49">
        <f t="shared" si="13"/>
        <v>52500.000000000007</v>
      </c>
      <c r="L98" s="49">
        <f t="shared" si="15"/>
        <v>802500</v>
      </c>
      <c r="M98" s="63">
        <v>3</v>
      </c>
      <c r="N98" s="49">
        <f t="shared" si="14"/>
        <v>267500</v>
      </c>
      <c r="O98" s="121" t="s">
        <v>362</v>
      </c>
      <c r="P98" s="56">
        <v>2025</v>
      </c>
    </row>
    <row r="99" spans="2:16" x14ac:dyDescent="0.3">
      <c r="B99" s="47">
        <v>17</v>
      </c>
      <c r="C99" s="47" t="s">
        <v>151</v>
      </c>
      <c r="D99" s="53" t="s">
        <v>363</v>
      </c>
      <c r="E99" s="53" t="s">
        <v>364</v>
      </c>
      <c r="F99" s="54">
        <v>2</v>
      </c>
      <c r="G99" s="61" t="s">
        <v>246</v>
      </c>
      <c r="H99" s="48">
        <v>950000</v>
      </c>
      <c r="I99" s="62">
        <f t="shared" si="12"/>
        <v>1900000</v>
      </c>
      <c r="J99" s="367">
        <v>7.0000000000000007E-2</v>
      </c>
      <c r="K99" s="49">
        <f t="shared" si="13"/>
        <v>133000</v>
      </c>
      <c r="L99" s="49">
        <f t="shared" si="15"/>
        <v>2033000</v>
      </c>
      <c r="M99" s="63">
        <v>12</v>
      </c>
      <c r="N99" s="49">
        <f t="shared" si="14"/>
        <v>169416.66666666666</v>
      </c>
      <c r="O99" s="122" t="s">
        <v>365</v>
      </c>
      <c r="P99" s="56">
        <v>2025</v>
      </c>
    </row>
    <row r="100" spans="2:16" x14ac:dyDescent="0.3">
      <c r="B100" s="60">
        <v>18</v>
      </c>
      <c r="C100" s="60" t="s">
        <v>151</v>
      </c>
      <c r="D100" s="53" t="s">
        <v>366</v>
      </c>
      <c r="E100" s="46" t="s">
        <v>367</v>
      </c>
      <c r="F100" s="54">
        <v>1</v>
      </c>
      <c r="G100" s="61" t="s">
        <v>246</v>
      </c>
      <c r="H100" s="48">
        <v>3400000</v>
      </c>
      <c r="I100" s="62">
        <f t="shared" si="12"/>
        <v>3400000</v>
      </c>
      <c r="J100" s="367">
        <v>7.0000000000000007E-2</v>
      </c>
      <c r="K100" s="49">
        <f t="shared" si="13"/>
        <v>238000.00000000003</v>
      </c>
      <c r="L100" s="62">
        <v>0</v>
      </c>
      <c r="M100" s="63">
        <v>12</v>
      </c>
      <c r="N100" s="312">
        <f t="shared" si="14"/>
        <v>0</v>
      </c>
      <c r="O100" s="121" t="s">
        <v>368</v>
      </c>
      <c r="P100" s="56">
        <v>2024</v>
      </c>
    </row>
    <row r="101" spans="2:16" x14ac:dyDescent="0.3">
      <c r="B101" s="47">
        <v>19</v>
      </c>
      <c r="C101" s="47" t="s">
        <v>151</v>
      </c>
      <c r="D101" s="53" t="s">
        <v>369</v>
      </c>
      <c r="E101" s="46"/>
      <c r="F101" s="54">
        <v>5</v>
      </c>
      <c r="G101" s="61" t="s">
        <v>246</v>
      </c>
      <c r="H101" s="48">
        <v>79900</v>
      </c>
      <c r="I101" s="62">
        <f t="shared" si="12"/>
        <v>399500</v>
      </c>
      <c r="J101" s="367">
        <v>7.0000000000000007E-2</v>
      </c>
      <c r="K101" s="49">
        <f t="shared" si="13"/>
        <v>27965.000000000004</v>
      </c>
      <c r="L101" s="62">
        <v>0</v>
      </c>
      <c r="M101" s="63">
        <v>24</v>
      </c>
      <c r="N101" s="312">
        <f t="shared" si="14"/>
        <v>0</v>
      </c>
      <c r="O101" s="121" t="s">
        <v>370</v>
      </c>
      <c r="P101" s="56">
        <v>2024</v>
      </c>
    </row>
    <row r="102" spans="2:16" x14ac:dyDescent="0.3">
      <c r="B102" s="60">
        <v>20</v>
      </c>
      <c r="C102" s="60" t="s">
        <v>151</v>
      </c>
      <c r="D102" s="53" t="s">
        <v>371</v>
      </c>
      <c r="E102" s="46" t="s">
        <v>286</v>
      </c>
      <c r="F102" s="54">
        <v>2</v>
      </c>
      <c r="G102" s="61" t="s">
        <v>246</v>
      </c>
      <c r="H102" s="48">
        <v>27000</v>
      </c>
      <c r="I102" s="62">
        <f t="shared" si="12"/>
        <v>54000</v>
      </c>
      <c r="J102" s="367">
        <v>7.0000000000000007E-2</v>
      </c>
      <c r="K102" s="49">
        <f t="shared" si="13"/>
        <v>3780.0000000000005</v>
      </c>
      <c r="L102" s="49">
        <f t="shared" si="15"/>
        <v>57780</v>
      </c>
      <c r="M102" s="63">
        <v>12</v>
      </c>
      <c r="N102" s="49">
        <f t="shared" si="14"/>
        <v>4815</v>
      </c>
      <c r="O102" s="121" t="s">
        <v>372</v>
      </c>
      <c r="P102" s="56">
        <v>2025</v>
      </c>
    </row>
    <row r="103" spans="2:16" x14ac:dyDescent="0.3">
      <c r="B103" s="47">
        <v>21</v>
      </c>
      <c r="C103" s="47" t="s">
        <v>151</v>
      </c>
      <c r="D103" s="53" t="s">
        <v>373</v>
      </c>
      <c r="E103" s="46"/>
      <c r="F103" s="54">
        <v>2</v>
      </c>
      <c r="G103" s="61" t="s">
        <v>246</v>
      </c>
      <c r="H103" s="48">
        <v>599900</v>
      </c>
      <c r="I103" s="62">
        <f t="shared" si="12"/>
        <v>1199800</v>
      </c>
      <c r="J103" s="367">
        <v>7.0000000000000007E-2</v>
      </c>
      <c r="K103" s="49">
        <f t="shared" si="13"/>
        <v>83986.000000000015</v>
      </c>
      <c r="L103" s="49">
        <f>I103+K103</f>
        <v>1283786</v>
      </c>
      <c r="M103" s="63">
        <v>12</v>
      </c>
      <c r="N103" s="49">
        <f t="shared" si="14"/>
        <v>106982.16666666667</v>
      </c>
      <c r="O103" s="121" t="s">
        <v>374</v>
      </c>
      <c r="P103" s="56">
        <v>2025</v>
      </c>
    </row>
    <row r="104" spans="2:16" x14ac:dyDescent="0.3">
      <c r="B104" s="60">
        <v>22</v>
      </c>
      <c r="C104" s="60" t="s">
        <v>151</v>
      </c>
      <c r="D104" s="53" t="s">
        <v>280</v>
      </c>
      <c r="E104" s="46"/>
      <c r="F104" s="54">
        <v>3</v>
      </c>
      <c r="G104" s="61" t="s">
        <v>246</v>
      </c>
      <c r="H104" s="48">
        <v>107500</v>
      </c>
      <c r="I104" s="62">
        <f t="shared" si="12"/>
        <v>322500</v>
      </c>
      <c r="J104" s="367">
        <v>7.0000000000000007E-2</v>
      </c>
      <c r="K104" s="49">
        <f t="shared" si="13"/>
        <v>22575.000000000004</v>
      </c>
      <c r="L104" s="62">
        <v>0</v>
      </c>
      <c r="M104" s="63">
        <v>24</v>
      </c>
      <c r="N104" s="312">
        <f t="shared" si="14"/>
        <v>0</v>
      </c>
      <c r="O104" s="121" t="s">
        <v>375</v>
      </c>
    </row>
    <row r="105" spans="2:16" x14ac:dyDescent="0.3">
      <c r="B105" s="47">
        <v>23</v>
      </c>
      <c r="C105" s="47" t="s">
        <v>151</v>
      </c>
      <c r="D105" s="53" t="s">
        <v>376</v>
      </c>
      <c r="E105" s="53"/>
      <c r="F105" s="54">
        <v>3</v>
      </c>
      <c r="G105" s="61" t="s">
        <v>246</v>
      </c>
      <c r="H105" s="48">
        <v>368000</v>
      </c>
      <c r="I105" s="62">
        <f t="shared" si="12"/>
        <v>1104000</v>
      </c>
      <c r="J105" s="367">
        <v>7.0000000000000007E-2</v>
      </c>
      <c r="K105" s="49">
        <f t="shared" si="13"/>
        <v>77280.000000000015</v>
      </c>
      <c r="L105" s="49">
        <f>I105+K105</f>
        <v>1181280</v>
      </c>
      <c r="M105" s="63">
        <v>12</v>
      </c>
      <c r="N105" s="49">
        <f t="shared" si="14"/>
        <v>98440</v>
      </c>
      <c r="O105" s="121" t="s">
        <v>377</v>
      </c>
      <c r="P105" s="56">
        <v>2025</v>
      </c>
    </row>
    <row r="106" spans="2:16" x14ac:dyDescent="0.3">
      <c r="B106" s="60">
        <v>24</v>
      </c>
      <c r="C106" s="60" t="s">
        <v>151</v>
      </c>
      <c r="D106" s="53" t="s">
        <v>378</v>
      </c>
      <c r="E106" s="53" t="s">
        <v>379</v>
      </c>
      <c r="F106" s="54">
        <v>5</v>
      </c>
      <c r="G106" s="61" t="s">
        <v>246</v>
      </c>
      <c r="H106" s="123">
        <v>1225000</v>
      </c>
      <c r="I106" s="62">
        <f t="shared" si="12"/>
        <v>6125000</v>
      </c>
      <c r="J106" s="367">
        <v>7.0000000000000007E-2</v>
      </c>
      <c r="K106" s="49">
        <f t="shared" si="13"/>
        <v>428750.00000000006</v>
      </c>
      <c r="L106" s="49">
        <f>I106+K106</f>
        <v>6553750</v>
      </c>
      <c r="M106" s="63">
        <v>3</v>
      </c>
      <c r="N106" s="49">
        <f t="shared" si="14"/>
        <v>2184583.3333333335</v>
      </c>
      <c r="O106" s="114" t="s">
        <v>380</v>
      </c>
      <c r="P106" s="56">
        <v>2025</v>
      </c>
    </row>
    <row r="107" spans="2:16" x14ac:dyDescent="0.3">
      <c r="B107" s="47">
        <v>25</v>
      </c>
      <c r="C107" s="47" t="s">
        <v>151</v>
      </c>
      <c r="D107" s="53" t="s">
        <v>381</v>
      </c>
      <c r="E107" s="53" t="s">
        <v>382</v>
      </c>
      <c r="F107" s="54">
        <v>10</v>
      </c>
      <c r="G107" s="61" t="s">
        <v>246</v>
      </c>
      <c r="H107" s="123">
        <v>1190000</v>
      </c>
      <c r="I107" s="62">
        <f t="shared" si="12"/>
        <v>11900000</v>
      </c>
      <c r="J107" s="367">
        <v>7.0000000000000007E-2</v>
      </c>
      <c r="K107" s="49">
        <f t="shared" si="13"/>
        <v>833000.00000000012</v>
      </c>
      <c r="L107" s="49">
        <f t="shared" si="15"/>
        <v>12733000</v>
      </c>
      <c r="M107" s="63">
        <v>3</v>
      </c>
      <c r="N107" s="49">
        <f t="shared" si="14"/>
        <v>4244333.333333333</v>
      </c>
      <c r="O107" s="114" t="s">
        <v>383</v>
      </c>
      <c r="P107" s="56">
        <v>2025</v>
      </c>
    </row>
    <row r="108" spans="2:16" x14ac:dyDescent="0.3">
      <c r="B108" s="60">
        <v>26</v>
      </c>
      <c r="C108" s="60" t="s">
        <v>151</v>
      </c>
      <c r="D108" s="53" t="s">
        <v>384</v>
      </c>
      <c r="E108" s="53" t="s">
        <v>385</v>
      </c>
      <c r="F108" s="54">
        <v>5</v>
      </c>
      <c r="G108" s="61" t="s">
        <v>246</v>
      </c>
      <c r="H108" s="123">
        <v>1150000</v>
      </c>
      <c r="I108" s="62">
        <f t="shared" si="12"/>
        <v>5750000</v>
      </c>
      <c r="J108" s="367">
        <v>7.0000000000000007E-2</v>
      </c>
      <c r="K108" s="49">
        <f t="shared" si="13"/>
        <v>402500.00000000006</v>
      </c>
      <c r="L108" s="49">
        <f t="shared" si="15"/>
        <v>6152500</v>
      </c>
      <c r="M108" s="63">
        <v>3</v>
      </c>
      <c r="N108" s="49">
        <f t="shared" si="14"/>
        <v>2050833.3333333333</v>
      </c>
      <c r="O108" s="114" t="s">
        <v>386</v>
      </c>
      <c r="P108" s="56">
        <v>2025</v>
      </c>
    </row>
    <row r="109" spans="2:16" x14ac:dyDescent="0.3">
      <c r="B109" s="47">
        <v>27</v>
      </c>
      <c r="C109" s="47" t="s">
        <v>151</v>
      </c>
      <c r="D109" s="53" t="s">
        <v>387</v>
      </c>
      <c r="E109" s="53" t="s">
        <v>286</v>
      </c>
      <c r="F109" s="54">
        <v>4</v>
      </c>
      <c r="G109" s="61" t="s">
        <v>246</v>
      </c>
      <c r="H109" s="123">
        <v>39000</v>
      </c>
      <c r="I109" s="62">
        <f t="shared" si="12"/>
        <v>156000</v>
      </c>
      <c r="J109" s="367">
        <v>7.0000000000000007E-2</v>
      </c>
      <c r="K109" s="49">
        <f t="shared" si="13"/>
        <v>10920.000000000002</v>
      </c>
      <c r="L109" s="62">
        <v>0</v>
      </c>
      <c r="M109" s="63">
        <v>24</v>
      </c>
      <c r="N109" s="312">
        <f t="shared" si="14"/>
        <v>0</v>
      </c>
      <c r="O109" s="114" t="s">
        <v>388</v>
      </c>
      <c r="P109" s="56">
        <v>2024</v>
      </c>
    </row>
    <row r="110" spans="2:16" x14ac:dyDescent="0.3">
      <c r="B110" s="60">
        <v>28</v>
      </c>
      <c r="C110" s="60" t="s">
        <v>151</v>
      </c>
      <c r="D110" s="53" t="s">
        <v>389</v>
      </c>
      <c r="E110" s="53" t="s">
        <v>286</v>
      </c>
      <c r="F110" s="54">
        <v>1</v>
      </c>
      <c r="G110" s="61" t="s">
        <v>246</v>
      </c>
      <c r="H110" s="123">
        <v>280500</v>
      </c>
      <c r="I110" s="62">
        <f t="shared" si="12"/>
        <v>280500</v>
      </c>
      <c r="J110" s="367">
        <v>7.0000000000000007E-2</v>
      </c>
      <c r="K110" s="49">
        <f t="shared" si="13"/>
        <v>19635.000000000004</v>
      </c>
      <c r="L110" s="62">
        <v>0</v>
      </c>
      <c r="M110" s="63">
        <v>24</v>
      </c>
      <c r="N110" s="312">
        <f t="shared" si="14"/>
        <v>0</v>
      </c>
      <c r="O110" s="114" t="s">
        <v>390</v>
      </c>
      <c r="P110" s="56">
        <v>2024</v>
      </c>
    </row>
    <row r="111" spans="2:16" x14ac:dyDescent="0.3">
      <c r="B111" s="47">
        <v>29</v>
      </c>
      <c r="C111" s="47" t="s">
        <v>151</v>
      </c>
      <c r="D111" s="53" t="s">
        <v>391</v>
      </c>
      <c r="E111" s="53" t="s">
        <v>286</v>
      </c>
      <c r="F111" s="54">
        <v>2</v>
      </c>
      <c r="G111" s="61" t="s">
        <v>246</v>
      </c>
      <c r="H111" s="123">
        <v>30000</v>
      </c>
      <c r="I111" s="62">
        <f t="shared" si="12"/>
        <v>60000</v>
      </c>
      <c r="J111" s="367">
        <v>7.0000000000000007E-2</v>
      </c>
      <c r="K111" s="49">
        <f t="shared" si="13"/>
        <v>4200</v>
      </c>
      <c r="L111" s="62">
        <v>0</v>
      </c>
      <c r="M111" s="63">
        <v>24</v>
      </c>
      <c r="N111" s="312">
        <f t="shared" si="14"/>
        <v>0</v>
      </c>
      <c r="O111" s="114" t="s">
        <v>392</v>
      </c>
      <c r="P111" s="56">
        <v>2024</v>
      </c>
    </row>
    <row r="112" spans="2:16" x14ac:dyDescent="0.3">
      <c r="B112" s="60">
        <v>30</v>
      </c>
      <c r="C112" s="60" t="s">
        <v>151</v>
      </c>
      <c r="D112" s="53" t="s">
        <v>393</v>
      </c>
      <c r="E112" s="53" t="s">
        <v>286</v>
      </c>
      <c r="F112" s="54">
        <v>1</v>
      </c>
      <c r="G112" s="61" t="s">
        <v>246</v>
      </c>
      <c r="H112" s="123">
        <v>130000</v>
      </c>
      <c r="I112" s="62">
        <f t="shared" si="12"/>
        <v>130000</v>
      </c>
      <c r="J112" s="367">
        <v>7.0000000000000007E-2</v>
      </c>
      <c r="K112" s="49">
        <f t="shared" si="13"/>
        <v>9100</v>
      </c>
      <c r="L112" s="62">
        <v>0</v>
      </c>
      <c r="M112" s="63">
        <v>24</v>
      </c>
      <c r="N112" s="312">
        <f t="shared" si="14"/>
        <v>0</v>
      </c>
      <c r="O112" s="114" t="s">
        <v>394</v>
      </c>
      <c r="P112" s="56">
        <v>2024</v>
      </c>
    </row>
    <row r="113" spans="2:16" x14ac:dyDescent="0.3">
      <c r="B113" s="47">
        <v>31</v>
      </c>
      <c r="C113" s="47" t="s">
        <v>151</v>
      </c>
      <c r="D113" s="53" t="s">
        <v>395</v>
      </c>
      <c r="E113" s="53" t="s">
        <v>286</v>
      </c>
      <c r="F113" s="54">
        <v>4</v>
      </c>
      <c r="G113" s="61" t="s">
        <v>246</v>
      </c>
      <c r="H113" s="123">
        <v>58000</v>
      </c>
      <c r="I113" s="62">
        <f t="shared" si="12"/>
        <v>232000</v>
      </c>
      <c r="J113" s="367">
        <v>7.0000000000000007E-2</v>
      </c>
      <c r="K113" s="49">
        <f t="shared" si="13"/>
        <v>16240.000000000002</v>
      </c>
      <c r="L113" s="62">
        <v>0</v>
      </c>
      <c r="M113" s="63">
        <v>24</v>
      </c>
      <c r="N113" s="312">
        <f t="shared" si="14"/>
        <v>0</v>
      </c>
      <c r="O113" s="114" t="s">
        <v>396</v>
      </c>
      <c r="P113" s="56">
        <v>2024</v>
      </c>
    </row>
    <row r="114" spans="2:16" x14ac:dyDescent="0.3">
      <c r="B114" s="60">
        <v>32</v>
      </c>
      <c r="C114" s="60" t="s">
        <v>151</v>
      </c>
      <c r="D114" s="53" t="s">
        <v>397</v>
      </c>
      <c r="E114" s="53" t="s">
        <v>286</v>
      </c>
      <c r="F114" s="54">
        <v>4</v>
      </c>
      <c r="G114" s="61" t="s">
        <v>246</v>
      </c>
      <c r="H114" s="123">
        <v>78000</v>
      </c>
      <c r="I114" s="62">
        <f t="shared" si="12"/>
        <v>312000</v>
      </c>
      <c r="J114" s="367">
        <v>7.0000000000000007E-2</v>
      </c>
      <c r="K114" s="49">
        <f t="shared" si="13"/>
        <v>21840.000000000004</v>
      </c>
      <c r="L114" s="62">
        <v>0</v>
      </c>
      <c r="M114" s="63">
        <v>24</v>
      </c>
      <c r="N114" s="312">
        <f t="shared" si="14"/>
        <v>0</v>
      </c>
      <c r="O114" s="114" t="s">
        <v>398</v>
      </c>
      <c r="P114" s="56">
        <v>2024</v>
      </c>
    </row>
    <row r="115" spans="2:16" x14ac:dyDescent="0.3">
      <c r="B115" s="47">
        <v>33</v>
      </c>
      <c r="C115" s="47" t="s">
        <v>151</v>
      </c>
      <c r="D115" s="53" t="s">
        <v>399</v>
      </c>
      <c r="E115" s="53" t="s">
        <v>286</v>
      </c>
      <c r="F115" s="54">
        <v>4</v>
      </c>
      <c r="G115" s="61" t="s">
        <v>246</v>
      </c>
      <c r="H115" s="123">
        <v>103000</v>
      </c>
      <c r="I115" s="62">
        <f t="shared" si="12"/>
        <v>412000</v>
      </c>
      <c r="J115" s="367">
        <v>7.0000000000000007E-2</v>
      </c>
      <c r="K115" s="49">
        <f t="shared" si="13"/>
        <v>28840.000000000004</v>
      </c>
      <c r="L115" s="62">
        <v>0</v>
      </c>
      <c r="M115" s="63">
        <v>24</v>
      </c>
      <c r="N115" s="312">
        <f t="shared" si="14"/>
        <v>0</v>
      </c>
      <c r="O115" s="114" t="s">
        <v>400</v>
      </c>
      <c r="P115" s="56">
        <v>2024</v>
      </c>
    </row>
    <row r="116" spans="2:16" x14ac:dyDescent="0.3">
      <c r="B116" s="60">
        <v>34</v>
      </c>
      <c r="C116" s="60" t="s">
        <v>151</v>
      </c>
      <c r="D116" s="53" t="s">
        <v>401</v>
      </c>
      <c r="E116" s="53" t="s">
        <v>286</v>
      </c>
      <c r="F116" s="54">
        <v>2</v>
      </c>
      <c r="G116" s="61" t="s">
        <v>246</v>
      </c>
      <c r="H116" s="123">
        <v>144000</v>
      </c>
      <c r="I116" s="62">
        <f t="shared" si="12"/>
        <v>288000</v>
      </c>
      <c r="J116" s="367">
        <v>7.0000000000000007E-2</v>
      </c>
      <c r="K116" s="49">
        <f t="shared" si="13"/>
        <v>20160.000000000004</v>
      </c>
      <c r="L116" s="62">
        <v>0</v>
      </c>
      <c r="M116" s="63">
        <v>24</v>
      </c>
      <c r="N116" s="312">
        <f t="shared" si="14"/>
        <v>0</v>
      </c>
      <c r="O116" s="114" t="s">
        <v>402</v>
      </c>
      <c r="P116" s="56">
        <v>2024</v>
      </c>
    </row>
    <row r="117" spans="2:16" x14ac:dyDescent="0.3">
      <c r="B117" s="47">
        <v>35</v>
      </c>
      <c r="C117" s="47" t="s">
        <v>151</v>
      </c>
      <c r="D117" s="53" t="s">
        <v>403</v>
      </c>
      <c r="E117" s="53" t="s">
        <v>286</v>
      </c>
      <c r="F117" s="54">
        <v>4</v>
      </c>
      <c r="G117" s="61" t="s">
        <v>246</v>
      </c>
      <c r="H117" s="123">
        <v>60000</v>
      </c>
      <c r="I117" s="62">
        <f t="shared" si="12"/>
        <v>240000</v>
      </c>
      <c r="J117" s="367">
        <v>7.0000000000000007E-2</v>
      </c>
      <c r="K117" s="49">
        <f t="shared" si="13"/>
        <v>16800</v>
      </c>
      <c r="L117" s="62">
        <v>0</v>
      </c>
      <c r="M117" s="63">
        <v>24</v>
      </c>
      <c r="N117" s="312">
        <f t="shared" si="14"/>
        <v>0</v>
      </c>
      <c r="O117" s="114" t="s">
        <v>404</v>
      </c>
      <c r="P117" s="56">
        <v>2024</v>
      </c>
    </row>
    <row r="118" spans="2:16" x14ac:dyDescent="0.3">
      <c r="B118" s="60">
        <v>36</v>
      </c>
      <c r="C118" s="60" t="s">
        <v>151</v>
      </c>
      <c r="D118" s="53" t="s">
        <v>405</v>
      </c>
      <c r="E118" s="53" t="s">
        <v>286</v>
      </c>
      <c r="F118" s="54">
        <v>4</v>
      </c>
      <c r="G118" s="61" t="s">
        <v>246</v>
      </c>
      <c r="H118" s="123">
        <v>20000</v>
      </c>
      <c r="I118" s="62">
        <f t="shared" si="12"/>
        <v>80000</v>
      </c>
      <c r="J118" s="367">
        <v>7.0000000000000007E-2</v>
      </c>
      <c r="K118" s="49">
        <f t="shared" si="13"/>
        <v>5600.0000000000009</v>
      </c>
      <c r="L118" s="49">
        <f t="shared" si="15"/>
        <v>85600</v>
      </c>
      <c r="M118" s="63">
        <v>3</v>
      </c>
      <c r="N118" s="49">
        <f t="shared" si="14"/>
        <v>28533.333333333332</v>
      </c>
      <c r="O118" s="114" t="s">
        <v>406</v>
      </c>
      <c r="P118" s="56">
        <v>2025</v>
      </c>
    </row>
    <row r="119" spans="2:16" x14ac:dyDescent="0.3">
      <c r="B119" s="47">
        <v>37</v>
      </c>
      <c r="C119" s="60" t="s">
        <v>151</v>
      </c>
      <c r="D119" s="53" t="s">
        <v>405</v>
      </c>
      <c r="E119" s="53" t="s">
        <v>407</v>
      </c>
      <c r="F119" s="54">
        <v>4</v>
      </c>
      <c r="G119" s="61" t="s">
        <v>246</v>
      </c>
      <c r="H119" s="123">
        <v>10000</v>
      </c>
      <c r="I119" s="62">
        <f t="shared" si="12"/>
        <v>40000</v>
      </c>
      <c r="J119" s="367">
        <v>7.0000000000000007E-2</v>
      </c>
      <c r="K119" s="49">
        <f t="shared" si="13"/>
        <v>2800.0000000000005</v>
      </c>
      <c r="L119" s="49">
        <f t="shared" si="15"/>
        <v>42800</v>
      </c>
      <c r="M119" s="63">
        <v>3</v>
      </c>
      <c r="N119" s="49">
        <f t="shared" si="14"/>
        <v>14266.666666666666</v>
      </c>
      <c r="O119" s="114" t="s">
        <v>408</v>
      </c>
      <c r="P119" s="56">
        <v>2025</v>
      </c>
    </row>
    <row r="120" spans="2:16" x14ac:dyDescent="0.3">
      <c r="B120" s="60">
        <v>38</v>
      </c>
      <c r="C120" s="60" t="s">
        <v>151</v>
      </c>
      <c r="D120" s="46" t="s">
        <v>409</v>
      </c>
      <c r="E120" s="53" t="s">
        <v>286</v>
      </c>
      <c r="F120" s="54">
        <v>4</v>
      </c>
      <c r="G120" s="61" t="s">
        <v>246</v>
      </c>
      <c r="H120" s="123">
        <v>41000</v>
      </c>
      <c r="I120" s="62">
        <f t="shared" si="12"/>
        <v>164000</v>
      </c>
      <c r="J120" s="367">
        <v>7.0000000000000007E-2</v>
      </c>
      <c r="K120" s="49">
        <f t="shared" si="13"/>
        <v>11480.000000000002</v>
      </c>
      <c r="L120" s="62">
        <v>0</v>
      </c>
      <c r="M120" s="63">
        <v>24</v>
      </c>
      <c r="N120" s="312">
        <f t="shared" si="14"/>
        <v>0</v>
      </c>
      <c r="O120" s="114" t="s">
        <v>410</v>
      </c>
      <c r="P120" s="56">
        <v>2024</v>
      </c>
    </row>
    <row r="121" spans="2:16" x14ac:dyDescent="0.3">
      <c r="B121" s="47">
        <v>39</v>
      </c>
      <c r="C121" s="47" t="s">
        <v>151</v>
      </c>
      <c r="D121" s="46" t="s">
        <v>411</v>
      </c>
      <c r="E121" s="53" t="s">
        <v>286</v>
      </c>
      <c r="F121" s="54">
        <v>4</v>
      </c>
      <c r="G121" s="61" t="s">
        <v>246</v>
      </c>
      <c r="H121" s="123">
        <v>44000</v>
      </c>
      <c r="I121" s="62">
        <f t="shared" si="12"/>
        <v>176000</v>
      </c>
      <c r="J121" s="367">
        <v>7.0000000000000007E-2</v>
      </c>
      <c r="K121" s="49">
        <f t="shared" si="13"/>
        <v>12320.000000000002</v>
      </c>
      <c r="L121" s="62">
        <v>0</v>
      </c>
      <c r="M121" s="63">
        <v>24</v>
      </c>
      <c r="N121" s="312">
        <f t="shared" si="14"/>
        <v>0</v>
      </c>
      <c r="O121" s="114" t="s">
        <v>412</v>
      </c>
      <c r="P121" s="56">
        <v>2024</v>
      </c>
    </row>
    <row r="122" spans="2:16" x14ac:dyDescent="0.3">
      <c r="B122" s="60">
        <v>40</v>
      </c>
      <c r="C122" s="60" t="s">
        <v>151</v>
      </c>
      <c r="D122" s="53" t="s">
        <v>413</v>
      </c>
      <c r="E122" s="53" t="s">
        <v>286</v>
      </c>
      <c r="F122" s="54">
        <v>4</v>
      </c>
      <c r="G122" s="61" t="s">
        <v>246</v>
      </c>
      <c r="H122" s="123">
        <v>40700</v>
      </c>
      <c r="I122" s="62">
        <f t="shared" si="12"/>
        <v>162800</v>
      </c>
      <c r="J122" s="367">
        <v>7.0000000000000007E-2</v>
      </c>
      <c r="K122" s="49">
        <f t="shared" si="13"/>
        <v>11396.000000000002</v>
      </c>
      <c r="L122" s="49">
        <f t="shared" si="15"/>
        <v>174196</v>
      </c>
      <c r="M122" s="63">
        <v>12</v>
      </c>
      <c r="N122" s="49">
        <f t="shared" si="14"/>
        <v>14516.333333333334</v>
      </c>
      <c r="O122" s="114" t="s">
        <v>414</v>
      </c>
      <c r="P122" s="56">
        <v>2025</v>
      </c>
    </row>
    <row r="123" spans="2:16" x14ac:dyDescent="0.3">
      <c r="B123" s="47">
        <v>41</v>
      </c>
      <c r="C123" s="47" t="s">
        <v>151</v>
      </c>
      <c r="D123" s="53" t="s">
        <v>415</v>
      </c>
      <c r="E123" s="53" t="s">
        <v>286</v>
      </c>
      <c r="F123" s="54">
        <v>2</v>
      </c>
      <c r="G123" s="61" t="s">
        <v>246</v>
      </c>
      <c r="H123" s="123">
        <v>100000</v>
      </c>
      <c r="I123" s="62">
        <f t="shared" si="12"/>
        <v>200000</v>
      </c>
      <c r="J123" s="367">
        <v>7.0000000000000007E-2</v>
      </c>
      <c r="K123" s="49">
        <f t="shared" si="13"/>
        <v>14000.000000000002</v>
      </c>
      <c r="L123" s="62">
        <v>0</v>
      </c>
      <c r="M123" s="63">
        <v>24</v>
      </c>
      <c r="N123" s="312">
        <f t="shared" si="14"/>
        <v>0</v>
      </c>
      <c r="O123" s="114" t="s">
        <v>416</v>
      </c>
      <c r="P123" s="56">
        <v>2024</v>
      </c>
    </row>
    <row r="124" spans="2:16" x14ac:dyDescent="0.3">
      <c r="B124" s="60">
        <v>42</v>
      </c>
      <c r="C124" s="60" t="s">
        <v>151</v>
      </c>
      <c r="D124" s="53" t="s">
        <v>417</v>
      </c>
      <c r="E124" s="53" t="s">
        <v>286</v>
      </c>
      <c r="F124" s="54">
        <v>4</v>
      </c>
      <c r="G124" s="61" t="s">
        <v>246</v>
      </c>
      <c r="H124" s="123">
        <v>320000</v>
      </c>
      <c r="I124" s="62">
        <f t="shared" si="12"/>
        <v>1280000</v>
      </c>
      <c r="J124" s="367">
        <v>7.0000000000000007E-2</v>
      </c>
      <c r="K124" s="49">
        <f t="shared" si="13"/>
        <v>89600.000000000015</v>
      </c>
      <c r="L124" s="62">
        <v>0</v>
      </c>
      <c r="M124" s="63">
        <v>24</v>
      </c>
      <c r="N124" s="312">
        <f t="shared" si="14"/>
        <v>0</v>
      </c>
      <c r="O124" s="114" t="s">
        <v>418</v>
      </c>
      <c r="P124" s="56">
        <v>2024</v>
      </c>
    </row>
    <row r="125" spans="2:16" x14ac:dyDescent="0.3">
      <c r="B125" s="47">
        <v>43</v>
      </c>
      <c r="C125" s="47" t="s">
        <v>151</v>
      </c>
      <c r="D125" s="53" t="s">
        <v>419</v>
      </c>
      <c r="E125" s="53" t="s">
        <v>286</v>
      </c>
      <c r="F125" s="54">
        <v>4</v>
      </c>
      <c r="G125" s="61" t="s">
        <v>246</v>
      </c>
      <c r="H125" s="123">
        <v>55000</v>
      </c>
      <c r="I125" s="62">
        <f t="shared" si="12"/>
        <v>220000</v>
      </c>
      <c r="J125" s="367">
        <v>7.0000000000000007E-2</v>
      </c>
      <c r="K125" s="49">
        <f t="shared" si="13"/>
        <v>15400.000000000002</v>
      </c>
      <c r="L125" s="62">
        <v>0</v>
      </c>
      <c r="M125" s="63">
        <v>24</v>
      </c>
      <c r="N125" s="312">
        <f t="shared" si="14"/>
        <v>0</v>
      </c>
      <c r="O125" s="114" t="s">
        <v>420</v>
      </c>
      <c r="P125" s="56">
        <v>2024</v>
      </c>
    </row>
    <row r="126" spans="2:16" x14ac:dyDescent="0.3">
      <c r="B126" s="60">
        <v>44</v>
      </c>
      <c r="C126" s="60" t="s">
        <v>151</v>
      </c>
      <c r="D126" s="53" t="s">
        <v>421</v>
      </c>
      <c r="E126" s="53" t="s">
        <v>286</v>
      </c>
      <c r="F126" s="54">
        <v>4</v>
      </c>
      <c r="G126" s="61" t="s">
        <v>246</v>
      </c>
      <c r="H126" s="123">
        <v>188000</v>
      </c>
      <c r="I126" s="62">
        <f t="shared" si="12"/>
        <v>752000</v>
      </c>
      <c r="J126" s="367">
        <v>7.0000000000000007E-2</v>
      </c>
      <c r="K126" s="49">
        <f t="shared" si="13"/>
        <v>52640.000000000007</v>
      </c>
      <c r="L126" s="62">
        <v>0</v>
      </c>
      <c r="M126" s="63">
        <v>24</v>
      </c>
      <c r="N126" s="312">
        <f t="shared" si="14"/>
        <v>0</v>
      </c>
      <c r="O126" s="114" t="s">
        <v>422</v>
      </c>
      <c r="P126" s="56">
        <v>2024</v>
      </c>
    </row>
    <row r="127" spans="2:16" x14ac:dyDescent="0.3">
      <c r="B127" s="47">
        <v>45</v>
      </c>
      <c r="C127" s="47" t="s">
        <v>151</v>
      </c>
      <c r="D127" s="53" t="s">
        <v>423</v>
      </c>
      <c r="E127" s="53"/>
      <c r="F127" s="54">
        <v>2</v>
      </c>
      <c r="G127" s="61" t="s">
        <v>246</v>
      </c>
      <c r="H127" s="123">
        <v>50000</v>
      </c>
      <c r="I127" s="62">
        <f t="shared" si="12"/>
        <v>100000</v>
      </c>
      <c r="J127" s="367">
        <v>7.0000000000000007E-2</v>
      </c>
      <c r="K127" s="49">
        <f t="shared" si="13"/>
        <v>7000.0000000000009</v>
      </c>
      <c r="L127" s="62">
        <v>0</v>
      </c>
      <c r="M127" s="63">
        <v>24</v>
      </c>
      <c r="N127" s="312">
        <f t="shared" si="14"/>
        <v>0</v>
      </c>
      <c r="O127" s="114" t="s">
        <v>424</v>
      </c>
      <c r="P127" s="56">
        <v>2024</v>
      </c>
    </row>
    <row r="128" spans="2:16" x14ac:dyDescent="0.3">
      <c r="B128" s="60">
        <v>46</v>
      </c>
      <c r="C128" s="60" t="s">
        <v>151</v>
      </c>
      <c r="D128" s="53" t="s">
        <v>425</v>
      </c>
      <c r="E128" s="53" t="s">
        <v>286</v>
      </c>
      <c r="F128" s="54">
        <v>4</v>
      </c>
      <c r="G128" s="61" t="s">
        <v>246</v>
      </c>
      <c r="H128" s="123">
        <v>58500</v>
      </c>
      <c r="I128" s="62">
        <f t="shared" si="12"/>
        <v>234000</v>
      </c>
      <c r="J128" s="367">
        <v>7.0000000000000007E-2</v>
      </c>
      <c r="K128" s="49">
        <f t="shared" si="13"/>
        <v>16380.000000000002</v>
      </c>
      <c r="L128" s="62">
        <v>0</v>
      </c>
      <c r="M128" s="63">
        <v>24</v>
      </c>
      <c r="N128" s="312">
        <f t="shared" si="14"/>
        <v>0</v>
      </c>
      <c r="O128" s="114" t="s">
        <v>426</v>
      </c>
      <c r="P128" s="56">
        <v>2024</v>
      </c>
    </row>
    <row r="129" spans="2:16" x14ac:dyDescent="0.3">
      <c r="B129" s="47">
        <v>47</v>
      </c>
      <c r="C129" s="47" t="s">
        <v>151</v>
      </c>
      <c r="D129" s="53" t="s">
        <v>427</v>
      </c>
      <c r="E129" s="53" t="s">
        <v>428</v>
      </c>
      <c r="F129" s="54">
        <v>1</v>
      </c>
      <c r="G129" s="61" t="s">
        <v>246</v>
      </c>
      <c r="H129" s="123">
        <v>735000</v>
      </c>
      <c r="I129" s="62">
        <f t="shared" si="12"/>
        <v>735000</v>
      </c>
      <c r="J129" s="367">
        <v>7.0000000000000007E-2</v>
      </c>
      <c r="K129" s="49">
        <f t="shared" si="13"/>
        <v>51450.000000000007</v>
      </c>
      <c r="L129" s="49">
        <f t="shared" si="15"/>
        <v>786450</v>
      </c>
      <c r="M129" s="63">
        <v>12</v>
      </c>
      <c r="N129" s="49">
        <f t="shared" si="14"/>
        <v>65537.5</v>
      </c>
      <c r="O129" s="114" t="s">
        <v>429</v>
      </c>
      <c r="P129" s="56">
        <v>2025</v>
      </c>
    </row>
    <row r="130" spans="2:16" x14ac:dyDescent="0.3">
      <c r="B130" s="60">
        <v>48</v>
      </c>
      <c r="C130" s="47" t="s">
        <v>151</v>
      </c>
      <c r="D130" s="53" t="s">
        <v>430</v>
      </c>
      <c r="E130" s="53" t="s">
        <v>286</v>
      </c>
      <c r="F130" s="54">
        <v>2</v>
      </c>
      <c r="G130" s="61" t="s">
        <v>246</v>
      </c>
      <c r="H130" s="123">
        <v>50000</v>
      </c>
      <c r="I130" s="62">
        <f t="shared" si="12"/>
        <v>100000</v>
      </c>
      <c r="J130" s="367">
        <v>7.0000000000000007E-2</v>
      </c>
      <c r="K130" s="49">
        <f t="shared" si="13"/>
        <v>7000.0000000000009</v>
      </c>
      <c r="L130" s="49">
        <f t="shared" si="15"/>
        <v>107000</v>
      </c>
      <c r="M130" s="63">
        <v>12</v>
      </c>
      <c r="N130" s="49">
        <f t="shared" si="14"/>
        <v>8916.6666666666661</v>
      </c>
      <c r="O130" s="114" t="s">
        <v>431</v>
      </c>
      <c r="P130" s="56">
        <v>2025</v>
      </c>
    </row>
    <row r="131" spans="2:16" x14ac:dyDescent="0.3">
      <c r="B131" s="47">
        <v>49</v>
      </c>
      <c r="C131" s="60" t="s">
        <v>151</v>
      </c>
      <c r="D131" s="53" t="s">
        <v>432</v>
      </c>
      <c r="E131" s="53" t="s">
        <v>433</v>
      </c>
      <c r="F131" s="54">
        <v>1</v>
      </c>
      <c r="G131" s="61" t="s">
        <v>246</v>
      </c>
      <c r="H131" s="123">
        <v>0</v>
      </c>
      <c r="I131" s="62">
        <f t="shared" si="12"/>
        <v>0</v>
      </c>
      <c r="J131" s="367">
        <v>7.0000000000000007E-2</v>
      </c>
      <c r="K131" s="49">
        <f t="shared" si="13"/>
        <v>0</v>
      </c>
      <c r="L131" s="62">
        <v>0</v>
      </c>
      <c r="M131" s="63">
        <v>24</v>
      </c>
      <c r="N131" s="312">
        <f t="shared" si="14"/>
        <v>0</v>
      </c>
      <c r="O131" s="114" t="s">
        <v>434</v>
      </c>
      <c r="P131" s="56" t="s">
        <v>435</v>
      </c>
    </row>
    <row r="132" spans="2:16" x14ac:dyDescent="0.3">
      <c r="B132" s="60">
        <v>50</v>
      </c>
      <c r="C132" s="60" t="s">
        <v>151</v>
      </c>
      <c r="D132" s="53" t="s">
        <v>436</v>
      </c>
      <c r="E132" s="53" t="s">
        <v>286</v>
      </c>
      <c r="F132" s="54">
        <v>5</v>
      </c>
      <c r="G132" s="61" t="s">
        <v>246</v>
      </c>
      <c r="H132" s="123">
        <v>50000</v>
      </c>
      <c r="I132" s="62">
        <f t="shared" si="12"/>
        <v>250000</v>
      </c>
      <c r="J132" s="367">
        <v>7.0000000000000007E-2</v>
      </c>
      <c r="K132" s="49">
        <f t="shared" si="13"/>
        <v>17500</v>
      </c>
      <c r="L132" s="62">
        <v>0</v>
      </c>
      <c r="M132" s="63">
        <v>12</v>
      </c>
      <c r="N132" s="312">
        <f t="shared" si="14"/>
        <v>0</v>
      </c>
      <c r="O132" s="114" t="s">
        <v>437</v>
      </c>
      <c r="P132" s="56">
        <v>2024</v>
      </c>
    </row>
    <row r="133" spans="2:16" x14ac:dyDescent="0.3">
      <c r="B133" s="47">
        <v>51</v>
      </c>
      <c r="C133" s="60" t="s">
        <v>151</v>
      </c>
      <c r="D133" s="53" t="s">
        <v>438</v>
      </c>
      <c r="E133" s="53" t="s">
        <v>439</v>
      </c>
      <c r="F133" s="54">
        <v>1</v>
      </c>
      <c r="G133" s="61" t="s">
        <v>246</v>
      </c>
      <c r="H133" s="123">
        <v>3208000</v>
      </c>
      <c r="I133" s="62">
        <f t="shared" si="12"/>
        <v>3208000</v>
      </c>
      <c r="J133" s="367">
        <v>7.0000000000000007E-2</v>
      </c>
      <c r="K133" s="49">
        <f t="shared" si="13"/>
        <v>224560.00000000003</v>
      </c>
      <c r="L133" s="49">
        <f t="shared" si="15"/>
        <v>3432560</v>
      </c>
      <c r="M133" s="63">
        <v>12</v>
      </c>
      <c r="N133" s="49">
        <f t="shared" si="14"/>
        <v>286046.66666666669</v>
      </c>
      <c r="O133" s="114" t="s">
        <v>440</v>
      </c>
      <c r="P133" s="56">
        <v>2025</v>
      </c>
    </row>
    <row r="134" spans="2:16" x14ac:dyDescent="0.3">
      <c r="B134" s="60">
        <v>52</v>
      </c>
      <c r="C134" s="47" t="s">
        <v>151</v>
      </c>
      <c r="D134" s="53" t="s">
        <v>441</v>
      </c>
      <c r="E134" s="53"/>
      <c r="F134" s="54">
        <v>4</v>
      </c>
      <c r="G134" s="61" t="s">
        <v>246</v>
      </c>
      <c r="H134" s="123">
        <v>301893</v>
      </c>
      <c r="I134" s="62">
        <f t="shared" si="12"/>
        <v>1207572</v>
      </c>
      <c r="J134" s="367">
        <v>7.0000000000000007E-2</v>
      </c>
      <c r="K134" s="49">
        <f t="shared" si="13"/>
        <v>84530.040000000008</v>
      </c>
      <c r="L134" s="49">
        <f t="shared" si="15"/>
        <v>1292102.04</v>
      </c>
      <c r="M134" s="63">
        <v>6</v>
      </c>
      <c r="N134" s="49">
        <f t="shared" si="14"/>
        <v>215350.34</v>
      </c>
      <c r="O134" s="56" t="s">
        <v>442</v>
      </c>
      <c r="P134" s="56">
        <v>2025</v>
      </c>
    </row>
    <row r="135" spans="2:16" x14ac:dyDescent="0.3">
      <c r="B135" s="47">
        <v>53</v>
      </c>
      <c r="C135" s="60" t="s">
        <v>151</v>
      </c>
      <c r="D135" s="46" t="s">
        <v>443</v>
      </c>
      <c r="E135" s="46" t="s">
        <v>444</v>
      </c>
      <c r="F135" s="47">
        <v>2</v>
      </c>
      <c r="G135" s="61" t="s">
        <v>246</v>
      </c>
      <c r="H135" s="123">
        <v>46000</v>
      </c>
      <c r="I135" s="62">
        <f t="shared" si="12"/>
        <v>92000</v>
      </c>
      <c r="J135" s="367">
        <v>7.0000000000000007E-2</v>
      </c>
      <c r="K135" s="49">
        <f t="shared" si="13"/>
        <v>6440.0000000000009</v>
      </c>
      <c r="L135" s="49">
        <f t="shared" si="15"/>
        <v>98440</v>
      </c>
      <c r="M135" s="63">
        <v>12</v>
      </c>
      <c r="N135" s="49">
        <f t="shared" si="14"/>
        <v>8203.3333333333339</v>
      </c>
      <c r="O135" s="114" t="s">
        <v>445</v>
      </c>
      <c r="P135" s="56">
        <v>2025</v>
      </c>
    </row>
    <row r="136" spans="2:16" x14ac:dyDescent="0.3">
      <c r="B136" s="60">
        <v>54</v>
      </c>
      <c r="C136" s="47" t="s">
        <v>151</v>
      </c>
      <c r="D136" s="46" t="s">
        <v>446</v>
      </c>
      <c r="E136" s="46" t="s">
        <v>286</v>
      </c>
      <c r="F136" s="47">
        <v>1</v>
      </c>
      <c r="G136" s="61" t="s">
        <v>246</v>
      </c>
      <c r="H136" s="123">
        <v>302500</v>
      </c>
      <c r="I136" s="62">
        <f t="shared" si="12"/>
        <v>302500</v>
      </c>
      <c r="J136" s="367">
        <v>7.0000000000000007E-2</v>
      </c>
      <c r="K136" s="49">
        <f t="shared" si="13"/>
        <v>21175.000000000004</v>
      </c>
      <c r="L136" s="49">
        <f t="shared" si="15"/>
        <v>323675</v>
      </c>
      <c r="M136" s="63">
        <v>12</v>
      </c>
      <c r="N136" s="49">
        <f t="shared" si="14"/>
        <v>26972.916666666668</v>
      </c>
      <c r="O136" s="114" t="s">
        <v>447</v>
      </c>
    </row>
    <row r="137" spans="2:16" x14ac:dyDescent="0.3">
      <c r="B137" s="47">
        <v>55</v>
      </c>
      <c r="C137" s="60" t="s">
        <v>151</v>
      </c>
      <c r="D137" s="46" t="s">
        <v>448</v>
      </c>
      <c r="E137" s="46"/>
      <c r="F137" s="47">
        <v>2</v>
      </c>
      <c r="G137" s="61" t="s">
        <v>295</v>
      </c>
      <c r="H137" s="123">
        <v>400000</v>
      </c>
      <c r="I137" s="62">
        <f t="shared" ref="I137" si="16">F137*H137</f>
        <v>800000</v>
      </c>
      <c r="J137" s="367">
        <v>7.0000000000000007E-2</v>
      </c>
      <c r="K137" s="49">
        <f t="shared" ref="K137" si="17">I137*J137</f>
        <v>56000.000000000007</v>
      </c>
      <c r="L137" s="49">
        <f t="shared" ref="L137" si="18">I137+K137</f>
        <v>856000</v>
      </c>
      <c r="M137" s="63">
        <v>6</v>
      </c>
      <c r="N137" s="49">
        <f t="shared" ref="N137" si="19">L137/M137</f>
        <v>142666.66666666666</v>
      </c>
    </row>
    <row r="138" spans="2:16" x14ac:dyDescent="0.3">
      <c r="B138" s="60">
        <v>56</v>
      </c>
      <c r="C138" s="60" t="s">
        <v>151</v>
      </c>
      <c r="D138" s="46" t="s">
        <v>449</v>
      </c>
      <c r="E138" s="46"/>
      <c r="F138" s="47">
        <v>20</v>
      </c>
      <c r="G138" s="61" t="s">
        <v>450</v>
      </c>
      <c r="H138" s="123">
        <v>200000</v>
      </c>
      <c r="I138" s="62">
        <f t="shared" si="12"/>
        <v>4000000</v>
      </c>
      <c r="J138" s="367">
        <v>7.0000000000000007E-2</v>
      </c>
      <c r="K138" s="49">
        <f t="shared" si="13"/>
        <v>280000</v>
      </c>
      <c r="L138" s="49">
        <f t="shared" si="15"/>
        <v>4280000</v>
      </c>
      <c r="M138" s="63">
        <v>12</v>
      </c>
      <c r="N138" s="49">
        <f t="shared" si="14"/>
        <v>356666.66666666669</v>
      </c>
    </row>
    <row r="139" spans="2:16" x14ac:dyDescent="0.3">
      <c r="B139" s="149"/>
      <c r="C139" s="150"/>
      <c r="D139" s="151"/>
      <c r="E139" s="151"/>
      <c r="F139" s="150"/>
      <c r="G139" s="150"/>
      <c r="H139" s="152"/>
      <c r="I139" s="153">
        <f>SUM(I83:I138)</f>
        <v>65261672</v>
      </c>
      <c r="J139" s="154"/>
      <c r="K139" s="153">
        <f>SUM(K83:K138)</f>
        <v>4568317.04</v>
      </c>
      <c r="L139" s="153">
        <f>SUM(L83:L138)</f>
        <v>47476084.039999999</v>
      </c>
      <c r="M139" s="151"/>
      <c r="N139" s="368">
        <f>SUM(N83:N138)</f>
        <v>10981208.839999998</v>
      </c>
    </row>
    <row r="140" spans="2:16" x14ac:dyDescent="0.3">
      <c r="N140" s="52"/>
    </row>
    <row r="141" spans="2:16" x14ac:dyDescent="0.3">
      <c r="B141" s="158" t="s">
        <v>451</v>
      </c>
      <c r="C141" s="148"/>
      <c r="J141" s="568"/>
      <c r="K141" s="568"/>
      <c r="L141" s="568"/>
    </row>
    <row r="142" spans="2:16" ht="14.7" customHeight="1" x14ac:dyDescent="0.3">
      <c r="B142" s="569" t="s">
        <v>45</v>
      </c>
      <c r="C142" s="569" t="s">
        <v>227</v>
      </c>
      <c r="D142" s="569" t="s">
        <v>228</v>
      </c>
      <c r="E142" s="569" t="s">
        <v>229</v>
      </c>
      <c r="F142" s="569" t="s">
        <v>219</v>
      </c>
      <c r="G142" s="569" t="s">
        <v>224</v>
      </c>
      <c r="H142" s="570" t="s">
        <v>220</v>
      </c>
      <c r="I142" s="573" t="s">
        <v>230</v>
      </c>
      <c r="J142" s="574" t="s">
        <v>231</v>
      </c>
      <c r="K142" s="574"/>
      <c r="L142" s="575" t="s">
        <v>232</v>
      </c>
      <c r="M142" s="578" t="s">
        <v>233</v>
      </c>
      <c r="N142" s="573" t="s">
        <v>234</v>
      </c>
    </row>
    <row r="143" spans="2:16" ht="15" customHeight="1" x14ac:dyDescent="0.3">
      <c r="B143" s="569"/>
      <c r="C143" s="569"/>
      <c r="D143" s="569"/>
      <c r="E143" s="569"/>
      <c r="F143" s="569"/>
      <c r="G143" s="569"/>
      <c r="H143" s="559"/>
      <c r="I143" s="563"/>
      <c r="J143" s="143" t="s">
        <v>44</v>
      </c>
      <c r="K143" s="144" t="s">
        <v>234</v>
      </c>
      <c r="L143" s="575"/>
      <c r="M143" s="578"/>
      <c r="N143" s="563"/>
    </row>
    <row r="144" spans="2:16" x14ac:dyDescent="0.3">
      <c r="B144" s="47">
        <v>1</v>
      </c>
      <c r="C144" s="47" t="s">
        <v>452</v>
      </c>
      <c r="D144" s="46" t="s">
        <v>453</v>
      </c>
      <c r="E144" s="46" t="s">
        <v>454</v>
      </c>
      <c r="F144" s="47">
        <v>1</v>
      </c>
      <c r="G144" s="47" t="s">
        <v>243</v>
      </c>
      <c r="H144" s="366">
        <v>3452400</v>
      </c>
      <c r="I144" s="49">
        <f t="shared" ref="I144:I157" si="20">F144*H144</f>
        <v>3452400</v>
      </c>
      <c r="J144" s="367">
        <v>7.0000000000000007E-2</v>
      </c>
      <c r="K144" s="49">
        <f t="shared" ref="K144:K157" si="21">I144*J144</f>
        <v>241668.00000000003</v>
      </c>
      <c r="L144" s="49">
        <f t="shared" ref="L144:L157" si="22">I144+K144</f>
        <v>3694068</v>
      </c>
      <c r="M144" s="50">
        <v>12</v>
      </c>
      <c r="N144" s="49">
        <f t="shared" ref="N144:N157" si="23">L144/M144</f>
        <v>307839</v>
      </c>
    </row>
    <row r="145" spans="2:15" x14ac:dyDescent="0.3">
      <c r="B145" s="47">
        <v>2</v>
      </c>
      <c r="C145" s="47" t="s">
        <v>452</v>
      </c>
      <c r="D145" s="46" t="s">
        <v>455</v>
      </c>
      <c r="E145" s="46"/>
      <c r="F145" s="47">
        <v>0</v>
      </c>
      <c r="G145" s="47" t="s">
        <v>246</v>
      </c>
      <c r="H145" s="366">
        <v>612000</v>
      </c>
      <c r="I145" s="49">
        <f t="shared" si="20"/>
        <v>0</v>
      </c>
      <c r="J145" s="367">
        <v>7.0000000000000007E-2</v>
      </c>
      <c r="K145" s="49">
        <f t="shared" si="21"/>
        <v>0</v>
      </c>
      <c r="L145" s="62">
        <v>0</v>
      </c>
      <c r="M145" s="50">
        <v>12</v>
      </c>
      <c r="N145" s="312">
        <f t="shared" si="23"/>
        <v>0</v>
      </c>
    </row>
    <row r="146" spans="2:15" x14ac:dyDescent="0.3">
      <c r="B146" s="47">
        <v>3</v>
      </c>
      <c r="C146" s="47" t="s">
        <v>452</v>
      </c>
      <c r="D146" s="46" t="s">
        <v>456</v>
      </c>
      <c r="E146" s="46" t="s">
        <v>457</v>
      </c>
      <c r="F146" s="47">
        <v>2</v>
      </c>
      <c r="G146" s="47" t="s">
        <v>246</v>
      </c>
      <c r="H146" s="366">
        <v>373680</v>
      </c>
      <c r="I146" s="49">
        <f t="shared" si="20"/>
        <v>747360</v>
      </c>
      <c r="J146" s="367">
        <v>7.0000000000000007E-2</v>
      </c>
      <c r="K146" s="49">
        <f t="shared" si="21"/>
        <v>52315.200000000004</v>
      </c>
      <c r="L146" s="49">
        <f t="shared" si="22"/>
        <v>799675.2</v>
      </c>
      <c r="M146" s="50">
        <v>12</v>
      </c>
      <c r="N146" s="49">
        <f t="shared" si="23"/>
        <v>66639.599999999991</v>
      </c>
    </row>
    <row r="147" spans="2:15" x14ac:dyDescent="0.3">
      <c r="B147" s="47">
        <v>4</v>
      </c>
      <c r="C147" s="47" t="s">
        <v>452</v>
      </c>
      <c r="D147" s="46" t="s">
        <v>458</v>
      </c>
      <c r="E147" s="46"/>
      <c r="F147" s="47">
        <v>1</v>
      </c>
      <c r="G147" s="47" t="s">
        <v>246</v>
      </c>
      <c r="H147" s="366">
        <v>378500</v>
      </c>
      <c r="I147" s="49">
        <f t="shared" si="20"/>
        <v>378500</v>
      </c>
      <c r="J147" s="367">
        <v>7.0000000000000007E-2</v>
      </c>
      <c r="K147" s="49">
        <f t="shared" si="21"/>
        <v>26495.000000000004</v>
      </c>
      <c r="L147" s="49">
        <f t="shared" si="22"/>
        <v>404995</v>
      </c>
      <c r="M147" s="50">
        <v>12</v>
      </c>
      <c r="N147" s="49">
        <f t="shared" si="23"/>
        <v>33749.583333333336</v>
      </c>
      <c r="O147" s="114" t="s">
        <v>459</v>
      </c>
    </row>
    <row r="148" spans="2:15" x14ac:dyDescent="0.3">
      <c r="B148" s="47">
        <v>5</v>
      </c>
      <c r="C148" s="47" t="s">
        <v>452</v>
      </c>
      <c r="D148" s="46" t="s">
        <v>460</v>
      </c>
      <c r="E148" s="46"/>
      <c r="F148" s="47">
        <v>2</v>
      </c>
      <c r="G148" s="47" t="s">
        <v>246</v>
      </c>
      <c r="H148" s="366">
        <v>107670</v>
      </c>
      <c r="I148" s="49">
        <f t="shared" si="20"/>
        <v>215340</v>
      </c>
      <c r="J148" s="367">
        <v>7.0000000000000007E-2</v>
      </c>
      <c r="K148" s="49">
        <f t="shared" si="21"/>
        <v>15073.800000000001</v>
      </c>
      <c r="L148" s="49">
        <f t="shared" si="22"/>
        <v>230413.8</v>
      </c>
      <c r="M148" s="50">
        <v>12</v>
      </c>
      <c r="N148" s="49">
        <f t="shared" si="23"/>
        <v>19201.149999999998</v>
      </c>
    </row>
    <row r="149" spans="2:15" x14ac:dyDescent="0.3">
      <c r="B149" s="47">
        <v>6</v>
      </c>
      <c r="C149" s="47" t="s">
        <v>452</v>
      </c>
      <c r="D149" s="46" t="s">
        <v>461</v>
      </c>
      <c r="E149" s="46"/>
      <c r="F149" s="47">
        <v>1</v>
      </c>
      <c r="G149" s="47" t="s">
        <v>246</v>
      </c>
      <c r="H149" s="366">
        <v>1219890</v>
      </c>
      <c r="I149" s="49">
        <f t="shared" si="20"/>
        <v>1219890</v>
      </c>
      <c r="J149" s="367">
        <v>7.0000000000000007E-2</v>
      </c>
      <c r="K149" s="49">
        <f t="shared" si="21"/>
        <v>85392.3</v>
      </c>
      <c r="L149" s="49">
        <f t="shared" si="22"/>
        <v>1305282.3</v>
      </c>
      <c r="M149" s="50">
        <v>12</v>
      </c>
      <c r="N149" s="49">
        <f t="shared" si="23"/>
        <v>108773.52500000001</v>
      </c>
    </row>
    <row r="150" spans="2:15" x14ac:dyDescent="0.3">
      <c r="B150" s="47">
        <v>7</v>
      </c>
      <c r="C150" s="47" t="s">
        <v>452</v>
      </c>
      <c r="D150" s="46" t="s">
        <v>462</v>
      </c>
      <c r="E150" s="46"/>
      <c r="F150" s="47">
        <v>2</v>
      </c>
      <c r="G150" s="47" t="s">
        <v>246</v>
      </c>
      <c r="H150" s="366">
        <v>764790</v>
      </c>
      <c r="I150" s="49">
        <f t="shared" si="20"/>
        <v>1529580</v>
      </c>
      <c r="J150" s="367">
        <v>7.0000000000000007E-2</v>
      </c>
      <c r="K150" s="49">
        <f t="shared" si="21"/>
        <v>107070.6</v>
      </c>
      <c r="L150" s="49">
        <f t="shared" si="22"/>
        <v>1636650.6</v>
      </c>
      <c r="M150" s="50">
        <v>12</v>
      </c>
      <c r="N150" s="49">
        <f t="shared" si="23"/>
        <v>136387.55000000002</v>
      </c>
      <c r="O150" s="114" t="s">
        <v>463</v>
      </c>
    </row>
    <row r="151" spans="2:15" x14ac:dyDescent="0.3">
      <c r="B151" s="47">
        <v>8</v>
      </c>
      <c r="C151" s="47" t="s">
        <v>452</v>
      </c>
      <c r="D151" s="46" t="s">
        <v>302</v>
      </c>
      <c r="E151" s="46"/>
      <c r="F151" s="47">
        <v>1</v>
      </c>
      <c r="G151" s="47" t="s">
        <v>246</v>
      </c>
      <c r="H151" s="119">
        <v>209790</v>
      </c>
      <c r="I151" s="49">
        <f t="shared" si="20"/>
        <v>209790</v>
      </c>
      <c r="J151" s="367">
        <v>7.0000000000000007E-2</v>
      </c>
      <c r="K151" s="49">
        <f t="shared" si="21"/>
        <v>14685.300000000001</v>
      </c>
      <c r="L151" s="49">
        <f t="shared" si="22"/>
        <v>224475.3</v>
      </c>
      <c r="M151" s="50">
        <v>12</v>
      </c>
      <c r="N151" s="49">
        <f t="shared" si="23"/>
        <v>18706.274999999998</v>
      </c>
    </row>
    <row r="152" spans="2:15" x14ac:dyDescent="0.3">
      <c r="B152" s="47">
        <v>9</v>
      </c>
      <c r="C152" s="47" t="s">
        <v>452</v>
      </c>
      <c r="D152" s="46" t="s">
        <v>409</v>
      </c>
      <c r="E152" s="46"/>
      <c r="F152" s="47">
        <v>2</v>
      </c>
      <c r="G152" s="47" t="s">
        <v>295</v>
      </c>
      <c r="H152" s="123">
        <v>41000</v>
      </c>
      <c r="I152" s="49">
        <f t="shared" si="20"/>
        <v>82000</v>
      </c>
      <c r="J152" s="367">
        <v>7.0000000000000007E-2</v>
      </c>
      <c r="K152" s="49">
        <f t="shared" si="21"/>
        <v>5740.0000000000009</v>
      </c>
      <c r="L152" s="49">
        <f t="shared" si="22"/>
        <v>87740</v>
      </c>
      <c r="M152" s="50">
        <v>12</v>
      </c>
      <c r="N152" s="49">
        <f t="shared" si="23"/>
        <v>7311.666666666667</v>
      </c>
    </row>
    <row r="153" spans="2:15" x14ac:dyDescent="0.3">
      <c r="B153" s="47">
        <v>10</v>
      </c>
      <c r="C153" s="47" t="s">
        <v>452</v>
      </c>
      <c r="D153" s="46" t="s">
        <v>411</v>
      </c>
      <c r="E153" s="46"/>
      <c r="F153" s="47">
        <v>2</v>
      </c>
      <c r="G153" s="47" t="s">
        <v>295</v>
      </c>
      <c r="H153" s="123">
        <v>44000</v>
      </c>
      <c r="I153" s="49">
        <f t="shared" si="20"/>
        <v>88000</v>
      </c>
      <c r="J153" s="367">
        <v>7.0000000000000007E-2</v>
      </c>
      <c r="K153" s="49">
        <f t="shared" si="21"/>
        <v>6160.0000000000009</v>
      </c>
      <c r="L153" s="49">
        <f t="shared" si="22"/>
        <v>94160</v>
      </c>
      <c r="M153" s="50">
        <v>12</v>
      </c>
      <c r="N153" s="49">
        <f t="shared" si="23"/>
        <v>7846.666666666667</v>
      </c>
    </row>
    <row r="154" spans="2:15" x14ac:dyDescent="0.3">
      <c r="B154" s="47">
        <v>11</v>
      </c>
      <c r="C154" s="47" t="s">
        <v>452</v>
      </c>
      <c r="D154" s="46" t="s">
        <v>464</v>
      </c>
      <c r="E154" s="46"/>
      <c r="F154" s="47">
        <v>2</v>
      </c>
      <c r="G154" s="47" t="s">
        <v>246</v>
      </c>
      <c r="H154" s="366">
        <v>128571.43</v>
      </c>
      <c r="I154" s="49">
        <f t="shared" si="20"/>
        <v>257142.86</v>
      </c>
      <c r="J154" s="367">
        <v>7.0000000000000007E-2</v>
      </c>
      <c r="K154" s="49">
        <f t="shared" si="21"/>
        <v>18000.000200000002</v>
      </c>
      <c r="L154" s="49">
        <f t="shared" si="22"/>
        <v>275142.8602</v>
      </c>
      <c r="M154" s="50">
        <v>1</v>
      </c>
      <c r="N154" s="49">
        <f t="shared" si="23"/>
        <v>275142.8602</v>
      </c>
    </row>
    <row r="155" spans="2:15" x14ac:dyDescent="0.3">
      <c r="B155" s="47">
        <v>12</v>
      </c>
      <c r="C155" s="47" t="s">
        <v>452</v>
      </c>
      <c r="D155" s="46" t="s">
        <v>317</v>
      </c>
      <c r="E155" s="46"/>
      <c r="F155" s="47">
        <v>3</v>
      </c>
      <c r="G155" s="47" t="s">
        <v>246</v>
      </c>
      <c r="H155" s="123">
        <v>301893</v>
      </c>
      <c r="I155" s="49">
        <f t="shared" si="20"/>
        <v>905679</v>
      </c>
      <c r="J155" s="367">
        <v>7.0000000000000007E-2</v>
      </c>
      <c r="K155" s="49">
        <f t="shared" si="21"/>
        <v>63397.530000000006</v>
      </c>
      <c r="L155" s="49">
        <f t="shared" si="22"/>
        <v>969076.53</v>
      </c>
      <c r="M155" s="50">
        <v>6</v>
      </c>
      <c r="N155" s="49">
        <f t="shared" si="23"/>
        <v>161512.755</v>
      </c>
    </row>
    <row r="156" spans="2:15" x14ac:dyDescent="0.3">
      <c r="B156" s="47">
        <v>13</v>
      </c>
      <c r="C156" s="47" t="s">
        <v>452</v>
      </c>
      <c r="D156" s="46" t="s">
        <v>465</v>
      </c>
      <c r="E156" s="46"/>
      <c r="F156" s="47">
        <v>2</v>
      </c>
      <c r="G156" s="47" t="s">
        <v>246</v>
      </c>
      <c r="H156" s="366">
        <v>42000</v>
      </c>
      <c r="I156" s="49">
        <f t="shared" si="20"/>
        <v>84000</v>
      </c>
      <c r="J156" s="367">
        <v>7.0000000000000007E-2</v>
      </c>
      <c r="K156" s="49">
        <f t="shared" si="21"/>
        <v>5880.0000000000009</v>
      </c>
      <c r="L156" s="49">
        <f t="shared" si="22"/>
        <v>89880</v>
      </c>
      <c r="M156" s="50">
        <v>1</v>
      </c>
      <c r="N156" s="49">
        <f t="shared" si="23"/>
        <v>89880</v>
      </c>
    </row>
    <row r="157" spans="2:15" x14ac:dyDescent="0.3">
      <c r="B157" s="47">
        <v>14</v>
      </c>
      <c r="C157" s="47" t="s">
        <v>452</v>
      </c>
      <c r="D157" s="46" t="s">
        <v>466</v>
      </c>
      <c r="E157" s="46"/>
      <c r="F157" s="47">
        <v>3</v>
      </c>
      <c r="G157" s="47" t="s">
        <v>295</v>
      </c>
      <c r="H157" s="366">
        <v>612000</v>
      </c>
      <c r="I157" s="49">
        <f t="shared" si="20"/>
        <v>1836000</v>
      </c>
      <c r="J157" s="367">
        <v>7.0000000000000007E-2</v>
      </c>
      <c r="K157" s="49">
        <f t="shared" si="21"/>
        <v>128520.00000000001</v>
      </c>
      <c r="L157" s="49">
        <f t="shared" si="22"/>
        <v>1964520</v>
      </c>
      <c r="M157" s="50">
        <v>2</v>
      </c>
      <c r="N157" s="49">
        <f t="shared" si="23"/>
        <v>982260</v>
      </c>
    </row>
    <row r="158" spans="2:15" x14ac:dyDescent="0.3">
      <c r="B158" s="149"/>
      <c r="C158" s="150"/>
      <c r="D158" s="151"/>
      <c r="E158" s="151"/>
      <c r="F158" s="150"/>
      <c r="G158" s="150"/>
      <c r="H158" s="152"/>
      <c r="I158" s="153">
        <f>SUM(I144:I157)</f>
        <v>11005681.859999999</v>
      </c>
      <c r="J158" s="154"/>
      <c r="K158" s="153">
        <f>SUM(K144:K157)</f>
        <v>770397.73020000011</v>
      </c>
      <c r="L158" s="153">
        <f>SUM(L144:L157)</f>
        <v>11776079.590199998</v>
      </c>
      <c r="M158" s="151"/>
      <c r="N158" s="368">
        <f>SUM(N144:N157)</f>
        <v>2215250.6318666665</v>
      </c>
    </row>
  </sheetData>
  <mergeCells count="51">
    <mergeCell ref="M81:M82"/>
    <mergeCell ref="N81:N82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2"/>
    <mergeCell ref="L142:L143"/>
    <mergeCell ref="M142:M143"/>
    <mergeCell ref="N142:N143"/>
    <mergeCell ref="G81:G82"/>
    <mergeCell ref="H81:H82"/>
    <mergeCell ref="B81:B82"/>
    <mergeCell ref="C81:C82"/>
    <mergeCell ref="D81:D82"/>
    <mergeCell ref="E81:E82"/>
    <mergeCell ref="F81:F82"/>
    <mergeCell ref="M8:M9"/>
    <mergeCell ref="N8:N9"/>
    <mergeCell ref="B19:B20"/>
    <mergeCell ref="C19:C20"/>
    <mergeCell ref="D19:D20"/>
    <mergeCell ref="E19:E20"/>
    <mergeCell ref="F19:F20"/>
    <mergeCell ref="G19:G20"/>
    <mergeCell ref="H19:H20"/>
    <mergeCell ref="I19:I20"/>
    <mergeCell ref="J19:K19"/>
    <mergeCell ref="L19:L20"/>
    <mergeCell ref="M19:M20"/>
    <mergeCell ref="N19:N20"/>
    <mergeCell ref="B8:B9"/>
    <mergeCell ref="I8:I9"/>
    <mergeCell ref="J141:L141"/>
    <mergeCell ref="E8:E9"/>
    <mergeCell ref="D8:D9"/>
    <mergeCell ref="C8:C9"/>
    <mergeCell ref="J18:L18"/>
    <mergeCell ref="J80:L80"/>
    <mergeCell ref="H8:H9"/>
    <mergeCell ref="J8:K8"/>
    <mergeCell ref="L8:L9"/>
    <mergeCell ref="G8:G9"/>
    <mergeCell ref="F8:F9"/>
    <mergeCell ref="I81:I82"/>
    <mergeCell ref="J81:K81"/>
    <mergeCell ref="L81:L82"/>
  </mergeCells>
  <hyperlinks>
    <hyperlink ref="O26" r:id="rId1" xr:uid="{CF16544C-B1FA-4249-B738-CC5C0E0841C0}"/>
    <hyperlink ref="O24" r:id="rId2" display="https://www.googleadservices.com/pagead/aclk?sa=L&amp;ai=DChcSEwiIvOD_kKuKAxUkq2YCHZMFIV8YABAeGgJzbQ&amp;ae=2&amp;aspm=1&amp;co=1&amp;ase=2&amp;gclid=CjwKCAiAmfq6BhAsEiwAX1jsZ_QGaHB2PW1oPUaT4GGHHDTUeX516XLStuYNajgP-ZfTl1FDddMZJxoC3wcQAvD_BwE&amp;ei=pIFfZ6qROfCw4-EP8qrfUQ&amp;ohost=www.google.com&amp;cid=CAESVuD21p6iXnmqKzspqtIJKe_Cy1xeozHnvbxt6WXSZoRw3JyvQTgr8JzGlA_AxzvdRfxSPLgEHZZoCSS5UISMcZx3wQWQMMFb8LAj_Q-IEgewMt8S1z-k&amp;sig=AOD64_1Gq70GlvtY2XgNxXF1BRuL90wiBQ&amp;ctype=5&amp;q=&amp;nis=4&amp;sqi=2&amp;ved=2ahUKEwiq89v_kKuKAxVw2DgGHXLVNwoQ9aACKAB6BAgHEA4&amp;adurl=" xr:uid="{F0D98D1E-173A-401A-B101-5A615F972303}"/>
    <hyperlink ref="O72" r:id="rId3" xr:uid="{5B884B17-A5A7-4ADF-829D-AC62C05B630E}"/>
    <hyperlink ref="O56" r:id="rId4" xr:uid="{D6CB023D-D372-4C07-8F22-6DD117CF5F29}"/>
    <hyperlink ref="O147" r:id="rId5" display="https://shopee.co.id/product/192848317/19876289095?gads_t_sig=VTJGc2RHVmtYMTlxTFVSVVRrdENkWVp3RFo3Mkw5czd4Z0hzdEF1WVFiazczUkpkaUVwcUNFWkNrcmJJbjBWdkI3aTFBTk9kQkRCc1haUXhLVGtLaFdpeU9Cc1VUYXR3MWdvNCs5d0RwVytWMXVKRmROeHBYZGEzdStXR2pTWGU&amp;gad_source=1&amp;gclid=CjwKCAiAmfq6BhAsEiwAX1jsZ5zObNd0ZVtK8OZm-bKRduNfFge6c0KTO4UJMu-GrG3RJK_mOVqarBoCug8QAvD_BwE" xr:uid="{B250E605-6717-453C-9674-76241F6F6961}"/>
    <hyperlink ref="O150" r:id="rId6" xr:uid="{D1CC05C6-5D25-40E5-98B4-44F2A22633D6}"/>
    <hyperlink ref="O84" r:id="rId7" xr:uid="{A9A75CA9-7D1E-4A94-AA0E-9C2E71A75256}"/>
    <hyperlink ref="O85" r:id="rId8" xr:uid="{70524864-6266-4ECB-B2F2-98EABCF3B0F0}"/>
    <hyperlink ref="O86" r:id="rId9" xr:uid="{438DE49B-B40F-43DC-AAD2-2BD94753FDF5}"/>
    <hyperlink ref="O87" r:id="rId10" xr:uid="{67E1A51E-0BA8-4EB5-B384-AA18A7FB4C2D}"/>
    <hyperlink ref="O88" r:id="rId11" xr:uid="{D94F0B56-AEA6-4DC7-A597-4242DD25F1B4}"/>
    <hyperlink ref="O90" r:id="rId12" xr:uid="{035BDEBF-AB75-4B63-AAF0-978811CE40D9}"/>
    <hyperlink ref="O91" r:id="rId13" xr:uid="{872C9554-4D8D-4B42-97EA-F0AE35D3B9B0}"/>
    <hyperlink ref="O92" r:id="rId14" xr:uid="{08450AC3-67CC-496B-AED6-B7A52143D075}"/>
    <hyperlink ref="O93" r:id="rId15" xr:uid="{B296FFEE-046A-4DCD-A720-1DF18C10C1D1}"/>
    <hyperlink ref="O94" r:id="rId16" xr:uid="{142E13D4-A3C7-4548-A5D3-72A769E0D837}"/>
    <hyperlink ref="O95" r:id="rId17" xr:uid="{455CAC01-A72F-441C-B27A-BCEBF89F6477}"/>
    <hyperlink ref="O96" r:id="rId18" xr:uid="{1E89A489-9428-43CF-8939-41E9922BE500}"/>
    <hyperlink ref="O97" r:id="rId19" xr:uid="{AF1DF605-A47B-4CD6-B6B9-C519466C2B74}"/>
    <hyperlink ref="O98" r:id="rId20" xr:uid="{82769324-0819-4834-A6EA-61C2600571CF}"/>
    <hyperlink ref="O99" r:id="rId21" xr:uid="{8A3319C2-7B84-4B57-9A53-14F43BB922EA}"/>
    <hyperlink ref="O100" r:id="rId22" xr:uid="{E1F91906-F7B1-47AD-8F61-D8DEEA4C8006}"/>
    <hyperlink ref="O101" r:id="rId23" xr:uid="{EE396357-7E16-48A9-98B0-E0A096B0E8E9}"/>
    <hyperlink ref="O102" r:id="rId24" xr:uid="{832C0C86-2C6A-469D-A2CC-226B55742D1A}"/>
    <hyperlink ref="O103" r:id="rId25" xr:uid="{96FE7EE1-2177-4C24-BB7F-67D701F6A5E7}"/>
    <hyperlink ref="O104" r:id="rId26" xr:uid="{36A6C123-D002-4B1C-B46A-A19697F960DA}"/>
    <hyperlink ref="O105" r:id="rId27" xr:uid="{7AAE7C44-A496-447F-B3FC-08E6032D823D}"/>
    <hyperlink ref="O106" r:id="rId28" xr:uid="{93B7AB66-E7DF-4033-AF03-41847E49FCF3}"/>
    <hyperlink ref="O107" r:id="rId29" xr:uid="{25E3B89E-F5C0-406E-854C-7CAAFA3BCFF5}"/>
    <hyperlink ref="O108" r:id="rId30" xr:uid="{4D8063E3-C72C-4573-A523-684F7FEA9AAB}"/>
    <hyperlink ref="O109" r:id="rId31" xr:uid="{29918214-B2A5-4CCA-B68F-D8D9E8A74C4F}"/>
    <hyperlink ref="O110" r:id="rId32" xr:uid="{94A41B22-8891-4B52-B479-44D47FB9FDC5}"/>
    <hyperlink ref="O111" r:id="rId33" xr:uid="{FB379981-3C67-48F5-8023-F32E1BC2C2CB}"/>
    <hyperlink ref="O112" r:id="rId34" xr:uid="{4137B429-7443-487C-BE6F-4B0690E28F0D}"/>
    <hyperlink ref="O113" r:id="rId35" xr:uid="{B156317F-B443-48D3-A1DE-A0B43E9D48E2}"/>
    <hyperlink ref="O114" r:id="rId36" xr:uid="{447A1B60-4AF3-452F-B346-7B8AAD4CB991}"/>
    <hyperlink ref="O115" r:id="rId37" xr:uid="{2AD53A52-BE4B-4738-9086-8D0BE0E99184}"/>
    <hyperlink ref="O116" r:id="rId38" xr:uid="{75BCB57D-EEDF-47A8-B068-87F0EAF42039}"/>
    <hyperlink ref="O117" r:id="rId39" xr:uid="{1FC004C5-5B8B-4E36-92AB-F90EA2015444}"/>
    <hyperlink ref="O118" r:id="rId40" xr:uid="{3F202AED-3FC7-491A-81C8-3DE6064E3DBE}"/>
    <hyperlink ref="O119" r:id="rId41" xr:uid="{05A908FF-71A2-4BF7-B57D-1A1A4EA3EDB7}"/>
    <hyperlink ref="O122" r:id="rId42" xr:uid="{25E7E58B-7AA7-49AC-BEF3-4D8199DB1F92}"/>
    <hyperlink ref="O123" r:id="rId43" xr:uid="{CEA453E7-90C3-4F9A-A110-7C10157645FE}"/>
    <hyperlink ref="O120" r:id="rId44" xr:uid="{F3C19130-7549-4B38-8888-E60D06AFB18B}"/>
    <hyperlink ref="O121" r:id="rId45" xr:uid="{890BE23C-2360-4C8F-89E1-78F85FEB50AD}"/>
    <hyperlink ref="O124" r:id="rId46" xr:uid="{B666EF23-5E10-4E70-A386-B94F8777B048}"/>
    <hyperlink ref="O125" r:id="rId47" xr:uid="{014158B9-0CF9-46CC-BC20-A50F572C20D7}"/>
    <hyperlink ref="O126" r:id="rId48" xr:uid="{61960A7F-60C1-49B7-92EB-D3CD0D042F84}"/>
    <hyperlink ref="O127" r:id="rId49" xr:uid="{B58FFE66-1054-40B6-BC9C-575E986E7A4D}"/>
    <hyperlink ref="O128" r:id="rId50" xr:uid="{18A8A3D4-A93A-407A-8A3A-FBC1089752A4}"/>
    <hyperlink ref="O129" r:id="rId51" xr:uid="{39EE84D7-4B1A-4AC4-AEAD-542DE4668269}"/>
    <hyperlink ref="O130" r:id="rId52" xr:uid="{4CB52B9C-1D56-4E1E-943D-48191049A077}"/>
    <hyperlink ref="O131" r:id="rId53" xr:uid="{0D8913E3-D544-4018-BD01-3B15956501F2}"/>
    <hyperlink ref="O132" r:id="rId54" xr:uid="{9D6A7B0F-0916-4118-9803-35CFA23A54C7}"/>
    <hyperlink ref="O133" r:id="rId55" xr:uid="{EF45C791-6D0B-4515-921B-EF003AFCEEF7}"/>
    <hyperlink ref="O135" r:id="rId56" xr:uid="{8194E937-046C-43B4-ABE8-5491C965592B}"/>
    <hyperlink ref="O136" r:id="rId57" xr:uid="{6DD51D00-8C51-4ACE-98A5-17F4272EFE3C}"/>
  </hyperlinks>
  <pageMargins left="0.70866141732283472" right="0.70866141732283472" top="0.74803149606299213" bottom="0.74803149606299213" header="0.31496062992125984" footer="0.31496062992125984"/>
  <pageSetup scale="86" orientation="portrait" r:id="rId58"/>
  <colBreaks count="1" manualBreakCount="1">
    <brk id="15" max="1048575" man="1"/>
  </colBreaks>
  <drawing r:id="rId5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3508-E4BD-48D4-999A-7A2D5411A1F8}">
  <dimension ref="B5:M162"/>
  <sheetViews>
    <sheetView showGridLines="0" tabSelected="1" view="pageBreakPreview" topLeftCell="A125" zoomScale="74" zoomScaleNormal="74" zoomScaleSheetLayoutView="74" workbookViewId="0">
      <selection activeCell="C94" sqref="C94"/>
    </sheetView>
  </sheetViews>
  <sheetFormatPr defaultRowHeight="14.4" x14ac:dyDescent="0.3"/>
  <cols>
    <col min="1" max="1" width="3.5546875" style="75" customWidth="1"/>
    <col min="2" max="2" width="4.77734375" style="75" customWidth="1"/>
    <col min="3" max="3" width="37.21875" style="75" bestFit="1" customWidth="1"/>
    <col min="4" max="5" width="13.21875" style="75" customWidth="1"/>
    <col min="6" max="6" width="12.88671875" style="75" customWidth="1"/>
    <col min="7" max="7" width="13.88671875" style="75" customWidth="1"/>
    <col min="8" max="8" width="13.21875" style="75" customWidth="1"/>
    <col min="9" max="9" width="15.21875" style="75" customWidth="1"/>
    <col min="10" max="10" width="15" style="75" bestFit="1" customWidth="1"/>
    <col min="11" max="11" width="13.77734375" style="75" bestFit="1" customWidth="1"/>
    <col min="12" max="12" width="8.77734375" style="75"/>
    <col min="13" max="13" width="14.33203125" style="75" bestFit="1" customWidth="1"/>
    <col min="14" max="233" width="8.77734375" style="75"/>
    <col min="234" max="234" width="3.5546875" style="75" customWidth="1"/>
    <col min="235" max="235" width="4.77734375" style="75" customWidth="1"/>
    <col min="236" max="236" width="37.21875" style="75" bestFit="1" customWidth="1"/>
    <col min="237" max="238" width="5.21875" style="75" customWidth="1"/>
    <col min="239" max="239" width="12.77734375" style="75" bestFit="1" customWidth="1"/>
    <col min="240" max="240" width="13.77734375" style="75" bestFit="1" customWidth="1"/>
    <col min="241" max="241" width="5.5546875" style="75" bestFit="1" customWidth="1"/>
    <col min="242" max="242" width="14.44140625" style="75" bestFit="1" customWidth="1"/>
    <col min="243" max="243" width="8.77734375" style="75"/>
    <col min="244" max="244" width="36.44140625" style="75" customWidth="1"/>
    <col min="245" max="489" width="8.77734375" style="75"/>
    <col min="490" max="490" width="3.5546875" style="75" customWidth="1"/>
    <col min="491" max="491" width="4.77734375" style="75" customWidth="1"/>
    <col min="492" max="492" width="37.21875" style="75" bestFit="1" customWidth="1"/>
    <col min="493" max="494" width="5.21875" style="75" customWidth="1"/>
    <col min="495" max="495" width="12.77734375" style="75" bestFit="1" customWidth="1"/>
    <col min="496" max="496" width="13.77734375" style="75" bestFit="1" customWidth="1"/>
    <col min="497" max="497" width="5.5546875" style="75" bestFit="1" customWidth="1"/>
    <col min="498" max="498" width="14.44140625" style="75" bestFit="1" customWidth="1"/>
    <col min="499" max="499" width="8.77734375" style="75"/>
    <col min="500" max="500" width="36.44140625" style="75" customWidth="1"/>
    <col min="501" max="745" width="8.77734375" style="75"/>
    <col min="746" max="746" width="3.5546875" style="75" customWidth="1"/>
    <col min="747" max="747" width="4.77734375" style="75" customWidth="1"/>
    <col min="748" max="748" width="37.21875" style="75" bestFit="1" customWidth="1"/>
    <col min="749" max="750" width="5.21875" style="75" customWidth="1"/>
    <col min="751" max="751" width="12.77734375" style="75" bestFit="1" customWidth="1"/>
    <col min="752" max="752" width="13.77734375" style="75" bestFit="1" customWidth="1"/>
    <col min="753" max="753" width="5.5546875" style="75" bestFit="1" customWidth="1"/>
    <col min="754" max="754" width="14.44140625" style="75" bestFit="1" customWidth="1"/>
    <col min="755" max="755" width="8.77734375" style="75"/>
    <col min="756" max="756" width="36.44140625" style="75" customWidth="1"/>
    <col min="757" max="1001" width="8.77734375" style="75"/>
    <col min="1002" max="1002" width="3.5546875" style="75" customWidth="1"/>
    <col min="1003" max="1003" width="4.77734375" style="75" customWidth="1"/>
    <col min="1004" max="1004" width="37.21875" style="75" bestFit="1" customWidth="1"/>
    <col min="1005" max="1006" width="5.21875" style="75" customWidth="1"/>
    <col min="1007" max="1007" width="12.77734375" style="75" bestFit="1" customWidth="1"/>
    <col min="1008" max="1008" width="13.77734375" style="75" bestFit="1" customWidth="1"/>
    <col min="1009" max="1009" width="5.5546875" style="75" bestFit="1" customWidth="1"/>
    <col min="1010" max="1010" width="14.44140625" style="75" bestFit="1" customWidth="1"/>
    <col min="1011" max="1011" width="8.77734375" style="75"/>
    <col min="1012" max="1012" width="36.44140625" style="75" customWidth="1"/>
    <col min="1013" max="1257" width="8.77734375" style="75"/>
    <col min="1258" max="1258" width="3.5546875" style="75" customWidth="1"/>
    <col min="1259" max="1259" width="4.77734375" style="75" customWidth="1"/>
    <col min="1260" max="1260" width="37.21875" style="75" bestFit="1" customWidth="1"/>
    <col min="1261" max="1262" width="5.21875" style="75" customWidth="1"/>
    <col min="1263" max="1263" width="12.77734375" style="75" bestFit="1" customWidth="1"/>
    <col min="1264" max="1264" width="13.77734375" style="75" bestFit="1" customWidth="1"/>
    <col min="1265" max="1265" width="5.5546875" style="75" bestFit="1" customWidth="1"/>
    <col min="1266" max="1266" width="14.44140625" style="75" bestFit="1" customWidth="1"/>
    <col min="1267" max="1267" width="8.77734375" style="75"/>
    <col min="1268" max="1268" width="36.44140625" style="75" customWidth="1"/>
    <col min="1269" max="1513" width="8.77734375" style="75"/>
    <col min="1514" max="1514" width="3.5546875" style="75" customWidth="1"/>
    <col min="1515" max="1515" width="4.77734375" style="75" customWidth="1"/>
    <col min="1516" max="1516" width="37.21875" style="75" bestFit="1" customWidth="1"/>
    <col min="1517" max="1518" width="5.21875" style="75" customWidth="1"/>
    <col min="1519" max="1519" width="12.77734375" style="75" bestFit="1" customWidth="1"/>
    <col min="1520" max="1520" width="13.77734375" style="75" bestFit="1" customWidth="1"/>
    <col min="1521" max="1521" width="5.5546875" style="75" bestFit="1" customWidth="1"/>
    <col min="1522" max="1522" width="14.44140625" style="75" bestFit="1" customWidth="1"/>
    <col min="1523" max="1523" width="8.77734375" style="75"/>
    <col min="1524" max="1524" width="36.44140625" style="75" customWidth="1"/>
    <col min="1525" max="1769" width="8.77734375" style="75"/>
    <col min="1770" max="1770" width="3.5546875" style="75" customWidth="1"/>
    <col min="1771" max="1771" width="4.77734375" style="75" customWidth="1"/>
    <col min="1772" max="1772" width="37.21875" style="75" bestFit="1" customWidth="1"/>
    <col min="1773" max="1774" width="5.21875" style="75" customWidth="1"/>
    <col min="1775" max="1775" width="12.77734375" style="75" bestFit="1" customWidth="1"/>
    <col min="1776" max="1776" width="13.77734375" style="75" bestFit="1" customWidth="1"/>
    <col min="1777" max="1777" width="5.5546875" style="75" bestFit="1" customWidth="1"/>
    <col min="1778" max="1778" width="14.44140625" style="75" bestFit="1" customWidth="1"/>
    <col min="1779" max="1779" width="8.77734375" style="75"/>
    <col min="1780" max="1780" width="36.44140625" style="75" customWidth="1"/>
    <col min="1781" max="2025" width="8.77734375" style="75"/>
    <col min="2026" max="2026" width="3.5546875" style="75" customWidth="1"/>
    <col min="2027" max="2027" width="4.77734375" style="75" customWidth="1"/>
    <col min="2028" max="2028" width="37.21875" style="75" bestFit="1" customWidth="1"/>
    <col min="2029" max="2030" width="5.21875" style="75" customWidth="1"/>
    <col min="2031" max="2031" width="12.77734375" style="75" bestFit="1" customWidth="1"/>
    <col min="2032" max="2032" width="13.77734375" style="75" bestFit="1" customWidth="1"/>
    <col min="2033" max="2033" width="5.5546875" style="75" bestFit="1" customWidth="1"/>
    <col min="2034" max="2034" width="14.44140625" style="75" bestFit="1" customWidth="1"/>
    <col min="2035" max="2035" width="8.77734375" style="75"/>
    <col min="2036" max="2036" width="36.44140625" style="75" customWidth="1"/>
    <col min="2037" max="2281" width="8.77734375" style="75"/>
    <col min="2282" max="2282" width="3.5546875" style="75" customWidth="1"/>
    <col min="2283" max="2283" width="4.77734375" style="75" customWidth="1"/>
    <col min="2284" max="2284" width="37.21875" style="75" bestFit="1" customWidth="1"/>
    <col min="2285" max="2286" width="5.21875" style="75" customWidth="1"/>
    <col min="2287" max="2287" width="12.77734375" style="75" bestFit="1" customWidth="1"/>
    <col min="2288" max="2288" width="13.77734375" style="75" bestFit="1" customWidth="1"/>
    <col min="2289" max="2289" width="5.5546875" style="75" bestFit="1" customWidth="1"/>
    <col min="2290" max="2290" width="14.44140625" style="75" bestFit="1" customWidth="1"/>
    <col min="2291" max="2291" width="8.77734375" style="75"/>
    <col min="2292" max="2292" width="36.44140625" style="75" customWidth="1"/>
    <col min="2293" max="2537" width="8.77734375" style="75"/>
    <col min="2538" max="2538" width="3.5546875" style="75" customWidth="1"/>
    <col min="2539" max="2539" width="4.77734375" style="75" customWidth="1"/>
    <col min="2540" max="2540" width="37.21875" style="75" bestFit="1" customWidth="1"/>
    <col min="2541" max="2542" width="5.21875" style="75" customWidth="1"/>
    <col min="2543" max="2543" width="12.77734375" style="75" bestFit="1" customWidth="1"/>
    <col min="2544" max="2544" width="13.77734375" style="75" bestFit="1" customWidth="1"/>
    <col min="2545" max="2545" width="5.5546875" style="75" bestFit="1" customWidth="1"/>
    <col min="2546" max="2546" width="14.44140625" style="75" bestFit="1" customWidth="1"/>
    <col min="2547" max="2547" width="8.77734375" style="75"/>
    <col min="2548" max="2548" width="36.44140625" style="75" customWidth="1"/>
    <col min="2549" max="2793" width="8.77734375" style="75"/>
    <col min="2794" max="2794" width="3.5546875" style="75" customWidth="1"/>
    <col min="2795" max="2795" width="4.77734375" style="75" customWidth="1"/>
    <col min="2796" max="2796" width="37.21875" style="75" bestFit="1" customWidth="1"/>
    <col min="2797" max="2798" width="5.21875" style="75" customWidth="1"/>
    <col min="2799" max="2799" width="12.77734375" style="75" bestFit="1" customWidth="1"/>
    <col min="2800" max="2800" width="13.77734375" style="75" bestFit="1" customWidth="1"/>
    <col min="2801" max="2801" width="5.5546875" style="75" bestFit="1" customWidth="1"/>
    <col min="2802" max="2802" width="14.44140625" style="75" bestFit="1" customWidth="1"/>
    <col min="2803" max="2803" width="8.77734375" style="75"/>
    <col min="2804" max="2804" width="36.44140625" style="75" customWidth="1"/>
    <col min="2805" max="3049" width="8.77734375" style="75"/>
    <col min="3050" max="3050" width="3.5546875" style="75" customWidth="1"/>
    <col min="3051" max="3051" width="4.77734375" style="75" customWidth="1"/>
    <col min="3052" max="3052" width="37.21875" style="75" bestFit="1" customWidth="1"/>
    <col min="3053" max="3054" width="5.21875" style="75" customWidth="1"/>
    <col min="3055" max="3055" width="12.77734375" style="75" bestFit="1" customWidth="1"/>
    <col min="3056" max="3056" width="13.77734375" style="75" bestFit="1" customWidth="1"/>
    <col min="3057" max="3057" width="5.5546875" style="75" bestFit="1" customWidth="1"/>
    <col min="3058" max="3058" width="14.44140625" style="75" bestFit="1" customWidth="1"/>
    <col min="3059" max="3059" width="8.77734375" style="75"/>
    <col min="3060" max="3060" width="36.44140625" style="75" customWidth="1"/>
    <col min="3061" max="3305" width="8.77734375" style="75"/>
    <col min="3306" max="3306" width="3.5546875" style="75" customWidth="1"/>
    <col min="3307" max="3307" width="4.77734375" style="75" customWidth="1"/>
    <col min="3308" max="3308" width="37.21875" style="75" bestFit="1" customWidth="1"/>
    <col min="3309" max="3310" width="5.21875" style="75" customWidth="1"/>
    <col min="3311" max="3311" width="12.77734375" style="75" bestFit="1" customWidth="1"/>
    <col min="3312" max="3312" width="13.77734375" style="75" bestFit="1" customWidth="1"/>
    <col min="3313" max="3313" width="5.5546875" style="75" bestFit="1" customWidth="1"/>
    <col min="3314" max="3314" width="14.44140625" style="75" bestFit="1" customWidth="1"/>
    <col min="3315" max="3315" width="8.77734375" style="75"/>
    <col min="3316" max="3316" width="36.44140625" style="75" customWidth="1"/>
    <col min="3317" max="3561" width="8.77734375" style="75"/>
    <col min="3562" max="3562" width="3.5546875" style="75" customWidth="1"/>
    <col min="3563" max="3563" width="4.77734375" style="75" customWidth="1"/>
    <col min="3564" max="3564" width="37.21875" style="75" bestFit="1" customWidth="1"/>
    <col min="3565" max="3566" width="5.21875" style="75" customWidth="1"/>
    <col min="3567" max="3567" width="12.77734375" style="75" bestFit="1" customWidth="1"/>
    <col min="3568" max="3568" width="13.77734375" style="75" bestFit="1" customWidth="1"/>
    <col min="3569" max="3569" width="5.5546875" style="75" bestFit="1" customWidth="1"/>
    <col min="3570" max="3570" width="14.44140625" style="75" bestFit="1" customWidth="1"/>
    <col min="3571" max="3571" width="8.77734375" style="75"/>
    <col min="3572" max="3572" width="36.44140625" style="75" customWidth="1"/>
    <col min="3573" max="3817" width="8.77734375" style="75"/>
    <col min="3818" max="3818" width="3.5546875" style="75" customWidth="1"/>
    <col min="3819" max="3819" width="4.77734375" style="75" customWidth="1"/>
    <col min="3820" max="3820" width="37.21875" style="75" bestFit="1" customWidth="1"/>
    <col min="3821" max="3822" width="5.21875" style="75" customWidth="1"/>
    <col min="3823" max="3823" width="12.77734375" style="75" bestFit="1" customWidth="1"/>
    <col min="3824" max="3824" width="13.77734375" style="75" bestFit="1" customWidth="1"/>
    <col min="3825" max="3825" width="5.5546875" style="75" bestFit="1" customWidth="1"/>
    <col min="3826" max="3826" width="14.44140625" style="75" bestFit="1" customWidth="1"/>
    <col min="3827" max="3827" width="8.77734375" style="75"/>
    <col min="3828" max="3828" width="36.44140625" style="75" customWidth="1"/>
    <col min="3829" max="4073" width="8.77734375" style="75"/>
    <col min="4074" max="4074" width="3.5546875" style="75" customWidth="1"/>
    <col min="4075" max="4075" width="4.77734375" style="75" customWidth="1"/>
    <col min="4076" max="4076" width="37.21875" style="75" bestFit="1" customWidth="1"/>
    <col min="4077" max="4078" width="5.21875" style="75" customWidth="1"/>
    <col min="4079" max="4079" width="12.77734375" style="75" bestFit="1" customWidth="1"/>
    <col min="4080" max="4080" width="13.77734375" style="75" bestFit="1" customWidth="1"/>
    <col min="4081" max="4081" width="5.5546875" style="75" bestFit="1" customWidth="1"/>
    <col min="4082" max="4082" width="14.44140625" style="75" bestFit="1" customWidth="1"/>
    <col min="4083" max="4083" width="8.77734375" style="75"/>
    <col min="4084" max="4084" width="36.44140625" style="75" customWidth="1"/>
    <col min="4085" max="4329" width="8.77734375" style="75"/>
    <col min="4330" max="4330" width="3.5546875" style="75" customWidth="1"/>
    <col min="4331" max="4331" width="4.77734375" style="75" customWidth="1"/>
    <col min="4332" max="4332" width="37.21875" style="75" bestFit="1" customWidth="1"/>
    <col min="4333" max="4334" width="5.21875" style="75" customWidth="1"/>
    <col min="4335" max="4335" width="12.77734375" style="75" bestFit="1" customWidth="1"/>
    <col min="4336" max="4336" width="13.77734375" style="75" bestFit="1" customWidth="1"/>
    <col min="4337" max="4337" width="5.5546875" style="75" bestFit="1" customWidth="1"/>
    <col min="4338" max="4338" width="14.44140625" style="75" bestFit="1" customWidth="1"/>
    <col min="4339" max="4339" width="8.77734375" style="75"/>
    <col min="4340" max="4340" width="36.44140625" style="75" customWidth="1"/>
    <col min="4341" max="4585" width="8.77734375" style="75"/>
    <col min="4586" max="4586" width="3.5546875" style="75" customWidth="1"/>
    <col min="4587" max="4587" width="4.77734375" style="75" customWidth="1"/>
    <col min="4588" max="4588" width="37.21875" style="75" bestFit="1" customWidth="1"/>
    <col min="4589" max="4590" width="5.21875" style="75" customWidth="1"/>
    <col min="4591" max="4591" width="12.77734375" style="75" bestFit="1" customWidth="1"/>
    <col min="4592" max="4592" width="13.77734375" style="75" bestFit="1" customWidth="1"/>
    <col min="4593" max="4593" width="5.5546875" style="75" bestFit="1" customWidth="1"/>
    <col min="4594" max="4594" width="14.44140625" style="75" bestFit="1" customWidth="1"/>
    <col min="4595" max="4595" width="8.77734375" style="75"/>
    <col min="4596" max="4596" width="36.44140625" style="75" customWidth="1"/>
    <col min="4597" max="4841" width="8.77734375" style="75"/>
    <col min="4842" max="4842" width="3.5546875" style="75" customWidth="1"/>
    <col min="4843" max="4843" width="4.77734375" style="75" customWidth="1"/>
    <col min="4844" max="4844" width="37.21875" style="75" bestFit="1" customWidth="1"/>
    <col min="4845" max="4846" width="5.21875" style="75" customWidth="1"/>
    <col min="4847" max="4847" width="12.77734375" style="75" bestFit="1" customWidth="1"/>
    <col min="4848" max="4848" width="13.77734375" style="75" bestFit="1" customWidth="1"/>
    <col min="4849" max="4849" width="5.5546875" style="75" bestFit="1" customWidth="1"/>
    <col min="4850" max="4850" width="14.44140625" style="75" bestFit="1" customWidth="1"/>
    <col min="4851" max="4851" width="8.77734375" style="75"/>
    <col min="4852" max="4852" width="36.44140625" style="75" customWidth="1"/>
    <col min="4853" max="5097" width="8.77734375" style="75"/>
    <col min="5098" max="5098" width="3.5546875" style="75" customWidth="1"/>
    <col min="5099" max="5099" width="4.77734375" style="75" customWidth="1"/>
    <col min="5100" max="5100" width="37.21875" style="75" bestFit="1" customWidth="1"/>
    <col min="5101" max="5102" width="5.21875" style="75" customWidth="1"/>
    <col min="5103" max="5103" width="12.77734375" style="75" bestFit="1" customWidth="1"/>
    <col min="5104" max="5104" width="13.77734375" style="75" bestFit="1" customWidth="1"/>
    <col min="5105" max="5105" width="5.5546875" style="75" bestFit="1" customWidth="1"/>
    <col min="5106" max="5106" width="14.44140625" style="75" bestFit="1" customWidth="1"/>
    <col min="5107" max="5107" width="8.77734375" style="75"/>
    <col min="5108" max="5108" width="36.44140625" style="75" customWidth="1"/>
    <col min="5109" max="5353" width="8.77734375" style="75"/>
    <col min="5354" max="5354" width="3.5546875" style="75" customWidth="1"/>
    <col min="5355" max="5355" width="4.77734375" style="75" customWidth="1"/>
    <col min="5356" max="5356" width="37.21875" style="75" bestFit="1" customWidth="1"/>
    <col min="5357" max="5358" width="5.21875" style="75" customWidth="1"/>
    <col min="5359" max="5359" width="12.77734375" style="75" bestFit="1" customWidth="1"/>
    <col min="5360" max="5360" width="13.77734375" style="75" bestFit="1" customWidth="1"/>
    <col min="5361" max="5361" width="5.5546875" style="75" bestFit="1" customWidth="1"/>
    <col min="5362" max="5362" width="14.44140625" style="75" bestFit="1" customWidth="1"/>
    <col min="5363" max="5363" width="8.77734375" style="75"/>
    <col min="5364" max="5364" width="36.44140625" style="75" customWidth="1"/>
    <col min="5365" max="5609" width="8.77734375" style="75"/>
    <col min="5610" max="5610" width="3.5546875" style="75" customWidth="1"/>
    <col min="5611" max="5611" width="4.77734375" style="75" customWidth="1"/>
    <col min="5612" max="5612" width="37.21875" style="75" bestFit="1" customWidth="1"/>
    <col min="5613" max="5614" width="5.21875" style="75" customWidth="1"/>
    <col min="5615" max="5615" width="12.77734375" style="75" bestFit="1" customWidth="1"/>
    <col min="5616" max="5616" width="13.77734375" style="75" bestFit="1" customWidth="1"/>
    <col min="5617" max="5617" width="5.5546875" style="75" bestFit="1" customWidth="1"/>
    <col min="5618" max="5618" width="14.44140625" style="75" bestFit="1" customWidth="1"/>
    <col min="5619" max="5619" width="8.77734375" style="75"/>
    <col min="5620" max="5620" width="36.44140625" style="75" customWidth="1"/>
    <col min="5621" max="5865" width="8.77734375" style="75"/>
    <col min="5866" max="5866" width="3.5546875" style="75" customWidth="1"/>
    <col min="5867" max="5867" width="4.77734375" style="75" customWidth="1"/>
    <col min="5868" max="5868" width="37.21875" style="75" bestFit="1" customWidth="1"/>
    <col min="5869" max="5870" width="5.21875" style="75" customWidth="1"/>
    <col min="5871" max="5871" width="12.77734375" style="75" bestFit="1" customWidth="1"/>
    <col min="5872" max="5872" width="13.77734375" style="75" bestFit="1" customWidth="1"/>
    <col min="5873" max="5873" width="5.5546875" style="75" bestFit="1" customWidth="1"/>
    <col min="5874" max="5874" width="14.44140625" style="75" bestFit="1" customWidth="1"/>
    <col min="5875" max="5875" width="8.77734375" style="75"/>
    <col min="5876" max="5876" width="36.44140625" style="75" customWidth="1"/>
    <col min="5877" max="6121" width="8.77734375" style="75"/>
    <col min="6122" max="6122" width="3.5546875" style="75" customWidth="1"/>
    <col min="6123" max="6123" width="4.77734375" style="75" customWidth="1"/>
    <col min="6124" max="6124" width="37.21875" style="75" bestFit="1" customWidth="1"/>
    <col min="6125" max="6126" width="5.21875" style="75" customWidth="1"/>
    <col min="6127" max="6127" width="12.77734375" style="75" bestFit="1" customWidth="1"/>
    <col min="6128" max="6128" width="13.77734375" style="75" bestFit="1" customWidth="1"/>
    <col min="6129" max="6129" width="5.5546875" style="75" bestFit="1" customWidth="1"/>
    <col min="6130" max="6130" width="14.44140625" style="75" bestFit="1" customWidth="1"/>
    <col min="6131" max="6131" width="8.77734375" style="75"/>
    <col min="6132" max="6132" width="36.44140625" style="75" customWidth="1"/>
    <col min="6133" max="6377" width="8.77734375" style="75"/>
    <col min="6378" max="6378" width="3.5546875" style="75" customWidth="1"/>
    <col min="6379" max="6379" width="4.77734375" style="75" customWidth="1"/>
    <col min="6380" max="6380" width="37.21875" style="75" bestFit="1" customWidth="1"/>
    <col min="6381" max="6382" width="5.21875" style="75" customWidth="1"/>
    <col min="6383" max="6383" width="12.77734375" style="75" bestFit="1" customWidth="1"/>
    <col min="6384" max="6384" width="13.77734375" style="75" bestFit="1" customWidth="1"/>
    <col min="6385" max="6385" width="5.5546875" style="75" bestFit="1" customWidth="1"/>
    <col min="6386" max="6386" width="14.44140625" style="75" bestFit="1" customWidth="1"/>
    <col min="6387" max="6387" width="8.77734375" style="75"/>
    <col min="6388" max="6388" width="36.44140625" style="75" customWidth="1"/>
    <col min="6389" max="6633" width="8.77734375" style="75"/>
    <col min="6634" max="6634" width="3.5546875" style="75" customWidth="1"/>
    <col min="6635" max="6635" width="4.77734375" style="75" customWidth="1"/>
    <col min="6636" max="6636" width="37.21875" style="75" bestFit="1" customWidth="1"/>
    <col min="6637" max="6638" width="5.21875" style="75" customWidth="1"/>
    <col min="6639" max="6639" width="12.77734375" style="75" bestFit="1" customWidth="1"/>
    <col min="6640" max="6640" width="13.77734375" style="75" bestFit="1" customWidth="1"/>
    <col min="6641" max="6641" width="5.5546875" style="75" bestFit="1" customWidth="1"/>
    <col min="6642" max="6642" width="14.44140625" style="75" bestFit="1" customWidth="1"/>
    <col min="6643" max="6643" width="8.77734375" style="75"/>
    <col min="6644" max="6644" width="36.44140625" style="75" customWidth="1"/>
    <col min="6645" max="6889" width="8.77734375" style="75"/>
    <col min="6890" max="6890" width="3.5546875" style="75" customWidth="1"/>
    <col min="6891" max="6891" width="4.77734375" style="75" customWidth="1"/>
    <col min="6892" max="6892" width="37.21875" style="75" bestFit="1" customWidth="1"/>
    <col min="6893" max="6894" width="5.21875" style="75" customWidth="1"/>
    <col min="6895" max="6895" width="12.77734375" style="75" bestFit="1" customWidth="1"/>
    <col min="6896" max="6896" width="13.77734375" style="75" bestFit="1" customWidth="1"/>
    <col min="6897" max="6897" width="5.5546875" style="75" bestFit="1" customWidth="1"/>
    <col min="6898" max="6898" width="14.44140625" style="75" bestFit="1" customWidth="1"/>
    <col min="6899" max="6899" width="8.77734375" style="75"/>
    <col min="6900" max="6900" width="36.44140625" style="75" customWidth="1"/>
    <col min="6901" max="7145" width="8.77734375" style="75"/>
    <col min="7146" max="7146" width="3.5546875" style="75" customWidth="1"/>
    <col min="7147" max="7147" width="4.77734375" style="75" customWidth="1"/>
    <col min="7148" max="7148" width="37.21875" style="75" bestFit="1" customWidth="1"/>
    <col min="7149" max="7150" width="5.21875" style="75" customWidth="1"/>
    <col min="7151" max="7151" width="12.77734375" style="75" bestFit="1" customWidth="1"/>
    <col min="7152" max="7152" width="13.77734375" style="75" bestFit="1" customWidth="1"/>
    <col min="7153" max="7153" width="5.5546875" style="75" bestFit="1" customWidth="1"/>
    <col min="7154" max="7154" width="14.44140625" style="75" bestFit="1" customWidth="1"/>
    <col min="7155" max="7155" width="8.77734375" style="75"/>
    <col min="7156" max="7156" width="36.44140625" style="75" customWidth="1"/>
    <col min="7157" max="7401" width="8.77734375" style="75"/>
    <col min="7402" max="7402" width="3.5546875" style="75" customWidth="1"/>
    <col min="7403" max="7403" width="4.77734375" style="75" customWidth="1"/>
    <col min="7404" max="7404" width="37.21875" style="75" bestFit="1" customWidth="1"/>
    <col min="7405" max="7406" width="5.21875" style="75" customWidth="1"/>
    <col min="7407" max="7407" width="12.77734375" style="75" bestFit="1" customWidth="1"/>
    <col min="7408" max="7408" width="13.77734375" style="75" bestFit="1" customWidth="1"/>
    <col min="7409" max="7409" width="5.5546875" style="75" bestFit="1" customWidth="1"/>
    <col min="7410" max="7410" width="14.44140625" style="75" bestFit="1" customWidth="1"/>
    <col min="7411" max="7411" width="8.77734375" style="75"/>
    <col min="7412" max="7412" width="36.44140625" style="75" customWidth="1"/>
    <col min="7413" max="7657" width="8.77734375" style="75"/>
    <col min="7658" max="7658" width="3.5546875" style="75" customWidth="1"/>
    <col min="7659" max="7659" width="4.77734375" style="75" customWidth="1"/>
    <col min="7660" max="7660" width="37.21875" style="75" bestFit="1" customWidth="1"/>
    <col min="7661" max="7662" width="5.21875" style="75" customWidth="1"/>
    <col min="7663" max="7663" width="12.77734375" style="75" bestFit="1" customWidth="1"/>
    <col min="7664" max="7664" width="13.77734375" style="75" bestFit="1" customWidth="1"/>
    <col min="7665" max="7665" width="5.5546875" style="75" bestFit="1" customWidth="1"/>
    <col min="7666" max="7666" width="14.44140625" style="75" bestFit="1" customWidth="1"/>
    <col min="7667" max="7667" width="8.77734375" style="75"/>
    <col min="7668" max="7668" width="36.44140625" style="75" customWidth="1"/>
    <col min="7669" max="7913" width="8.77734375" style="75"/>
    <col min="7914" max="7914" width="3.5546875" style="75" customWidth="1"/>
    <col min="7915" max="7915" width="4.77734375" style="75" customWidth="1"/>
    <col min="7916" max="7916" width="37.21875" style="75" bestFit="1" customWidth="1"/>
    <col min="7917" max="7918" width="5.21875" style="75" customWidth="1"/>
    <col min="7919" max="7919" width="12.77734375" style="75" bestFit="1" customWidth="1"/>
    <col min="7920" max="7920" width="13.77734375" style="75" bestFit="1" customWidth="1"/>
    <col min="7921" max="7921" width="5.5546875" style="75" bestFit="1" customWidth="1"/>
    <col min="7922" max="7922" width="14.44140625" style="75" bestFit="1" customWidth="1"/>
    <col min="7923" max="7923" width="8.77734375" style="75"/>
    <col min="7924" max="7924" width="36.44140625" style="75" customWidth="1"/>
    <col min="7925" max="8169" width="8.77734375" style="75"/>
    <col min="8170" max="8170" width="3.5546875" style="75" customWidth="1"/>
    <col min="8171" max="8171" width="4.77734375" style="75" customWidth="1"/>
    <col min="8172" max="8172" width="37.21875" style="75" bestFit="1" customWidth="1"/>
    <col min="8173" max="8174" width="5.21875" style="75" customWidth="1"/>
    <col min="8175" max="8175" width="12.77734375" style="75" bestFit="1" customWidth="1"/>
    <col min="8176" max="8176" width="13.77734375" style="75" bestFit="1" customWidth="1"/>
    <col min="8177" max="8177" width="5.5546875" style="75" bestFit="1" customWidth="1"/>
    <col min="8178" max="8178" width="14.44140625" style="75" bestFit="1" customWidth="1"/>
    <col min="8179" max="8179" width="8.77734375" style="75"/>
    <col min="8180" max="8180" width="36.44140625" style="75" customWidth="1"/>
    <col min="8181" max="8425" width="8.77734375" style="75"/>
    <col min="8426" max="8426" width="3.5546875" style="75" customWidth="1"/>
    <col min="8427" max="8427" width="4.77734375" style="75" customWidth="1"/>
    <col min="8428" max="8428" width="37.21875" style="75" bestFit="1" customWidth="1"/>
    <col min="8429" max="8430" width="5.21875" style="75" customWidth="1"/>
    <col min="8431" max="8431" width="12.77734375" style="75" bestFit="1" customWidth="1"/>
    <col min="8432" max="8432" width="13.77734375" style="75" bestFit="1" customWidth="1"/>
    <col min="8433" max="8433" width="5.5546875" style="75" bestFit="1" customWidth="1"/>
    <col min="8434" max="8434" width="14.44140625" style="75" bestFit="1" customWidth="1"/>
    <col min="8435" max="8435" width="8.77734375" style="75"/>
    <col min="8436" max="8436" width="36.44140625" style="75" customWidth="1"/>
    <col min="8437" max="8681" width="8.77734375" style="75"/>
    <col min="8682" max="8682" width="3.5546875" style="75" customWidth="1"/>
    <col min="8683" max="8683" width="4.77734375" style="75" customWidth="1"/>
    <col min="8684" max="8684" width="37.21875" style="75" bestFit="1" customWidth="1"/>
    <col min="8685" max="8686" width="5.21875" style="75" customWidth="1"/>
    <col min="8687" max="8687" width="12.77734375" style="75" bestFit="1" customWidth="1"/>
    <col min="8688" max="8688" width="13.77734375" style="75" bestFit="1" customWidth="1"/>
    <col min="8689" max="8689" width="5.5546875" style="75" bestFit="1" customWidth="1"/>
    <col min="8690" max="8690" width="14.44140625" style="75" bestFit="1" customWidth="1"/>
    <col min="8691" max="8691" width="8.77734375" style="75"/>
    <col min="8692" max="8692" width="36.44140625" style="75" customWidth="1"/>
    <col min="8693" max="8937" width="8.77734375" style="75"/>
    <col min="8938" max="8938" width="3.5546875" style="75" customWidth="1"/>
    <col min="8939" max="8939" width="4.77734375" style="75" customWidth="1"/>
    <col min="8940" max="8940" width="37.21875" style="75" bestFit="1" customWidth="1"/>
    <col min="8941" max="8942" width="5.21875" style="75" customWidth="1"/>
    <col min="8943" max="8943" width="12.77734375" style="75" bestFit="1" customWidth="1"/>
    <col min="8944" max="8944" width="13.77734375" style="75" bestFit="1" customWidth="1"/>
    <col min="8945" max="8945" width="5.5546875" style="75" bestFit="1" customWidth="1"/>
    <col min="8946" max="8946" width="14.44140625" style="75" bestFit="1" customWidth="1"/>
    <col min="8947" max="8947" width="8.77734375" style="75"/>
    <col min="8948" max="8948" width="36.44140625" style="75" customWidth="1"/>
    <col min="8949" max="9193" width="8.77734375" style="75"/>
    <col min="9194" max="9194" width="3.5546875" style="75" customWidth="1"/>
    <col min="9195" max="9195" width="4.77734375" style="75" customWidth="1"/>
    <col min="9196" max="9196" width="37.21875" style="75" bestFit="1" customWidth="1"/>
    <col min="9197" max="9198" width="5.21875" style="75" customWidth="1"/>
    <col min="9199" max="9199" width="12.77734375" style="75" bestFit="1" customWidth="1"/>
    <col min="9200" max="9200" width="13.77734375" style="75" bestFit="1" customWidth="1"/>
    <col min="9201" max="9201" width="5.5546875" style="75" bestFit="1" customWidth="1"/>
    <col min="9202" max="9202" width="14.44140625" style="75" bestFit="1" customWidth="1"/>
    <col min="9203" max="9203" width="8.77734375" style="75"/>
    <col min="9204" max="9204" width="36.44140625" style="75" customWidth="1"/>
    <col min="9205" max="9449" width="8.77734375" style="75"/>
    <col min="9450" max="9450" width="3.5546875" style="75" customWidth="1"/>
    <col min="9451" max="9451" width="4.77734375" style="75" customWidth="1"/>
    <col min="9452" max="9452" width="37.21875" style="75" bestFit="1" customWidth="1"/>
    <col min="9453" max="9454" width="5.21875" style="75" customWidth="1"/>
    <col min="9455" max="9455" width="12.77734375" style="75" bestFit="1" customWidth="1"/>
    <col min="9456" max="9456" width="13.77734375" style="75" bestFit="1" customWidth="1"/>
    <col min="9457" max="9457" width="5.5546875" style="75" bestFit="1" customWidth="1"/>
    <col min="9458" max="9458" width="14.44140625" style="75" bestFit="1" customWidth="1"/>
    <col min="9459" max="9459" width="8.77734375" style="75"/>
    <col min="9460" max="9460" width="36.44140625" style="75" customWidth="1"/>
    <col min="9461" max="9705" width="8.77734375" style="75"/>
    <col min="9706" max="9706" width="3.5546875" style="75" customWidth="1"/>
    <col min="9707" max="9707" width="4.77734375" style="75" customWidth="1"/>
    <col min="9708" max="9708" width="37.21875" style="75" bestFit="1" customWidth="1"/>
    <col min="9709" max="9710" width="5.21875" style="75" customWidth="1"/>
    <col min="9711" max="9711" width="12.77734375" style="75" bestFit="1" customWidth="1"/>
    <col min="9712" max="9712" width="13.77734375" style="75" bestFit="1" customWidth="1"/>
    <col min="9713" max="9713" width="5.5546875" style="75" bestFit="1" customWidth="1"/>
    <col min="9714" max="9714" width="14.44140625" style="75" bestFit="1" customWidth="1"/>
    <col min="9715" max="9715" width="8.77734375" style="75"/>
    <col min="9716" max="9716" width="36.44140625" style="75" customWidth="1"/>
    <col min="9717" max="9961" width="8.77734375" style="75"/>
    <col min="9962" max="9962" width="3.5546875" style="75" customWidth="1"/>
    <col min="9963" max="9963" width="4.77734375" style="75" customWidth="1"/>
    <col min="9964" max="9964" width="37.21875" style="75" bestFit="1" customWidth="1"/>
    <col min="9965" max="9966" width="5.21875" style="75" customWidth="1"/>
    <col min="9967" max="9967" width="12.77734375" style="75" bestFit="1" customWidth="1"/>
    <col min="9968" max="9968" width="13.77734375" style="75" bestFit="1" customWidth="1"/>
    <col min="9969" max="9969" width="5.5546875" style="75" bestFit="1" customWidth="1"/>
    <col min="9970" max="9970" width="14.44140625" style="75" bestFit="1" customWidth="1"/>
    <col min="9971" max="9971" width="8.77734375" style="75"/>
    <col min="9972" max="9972" width="36.44140625" style="75" customWidth="1"/>
    <col min="9973" max="10217" width="8.77734375" style="75"/>
    <col min="10218" max="10218" width="3.5546875" style="75" customWidth="1"/>
    <col min="10219" max="10219" width="4.77734375" style="75" customWidth="1"/>
    <col min="10220" max="10220" width="37.21875" style="75" bestFit="1" customWidth="1"/>
    <col min="10221" max="10222" width="5.21875" style="75" customWidth="1"/>
    <col min="10223" max="10223" width="12.77734375" style="75" bestFit="1" customWidth="1"/>
    <col min="10224" max="10224" width="13.77734375" style="75" bestFit="1" customWidth="1"/>
    <col min="10225" max="10225" width="5.5546875" style="75" bestFit="1" customWidth="1"/>
    <col min="10226" max="10226" width="14.44140625" style="75" bestFit="1" customWidth="1"/>
    <col min="10227" max="10227" width="8.77734375" style="75"/>
    <col min="10228" max="10228" width="36.44140625" style="75" customWidth="1"/>
    <col min="10229" max="10473" width="8.77734375" style="75"/>
    <col min="10474" max="10474" width="3.5546875" style="75" customWidth="1"/>
    <col min="10475" max="10475" width="4.77734375" style="75" customWidth="1"/>
    <col min="10476" max="10476" width="37.21875" style="75" bestFit="1" customWidth="1"/>
    <col min="10477" max="10478" width="5.21875" style="75" customWidth="1"/>
    <col min="10479" max="10479" width="12.77734375" style="75" bestFit="1" customWidth="1"/>
    <col min="10480" max="10480" width="13.77734375" style="75" bestFit="1" customWidth="1"/>
    <col min="10481" max="10481" width="5.5546875" style="75" bestFit="1" customWidth="1"/>
    <col min="10482" max="10482" width="14.44140625" style="75" bestFit="1" customWidth="1"/>
    <col min="10483" max="10483" width="8.77734375" style="75"/>
    <col min="10484" max="10484" width="36.44140625" style="75" customWidth="1"/>
    <col min="10485" max="10729" width="8.77734375" style="75"/>
    <col min="10730" max="10730" width="3.5546875" style="75" customWidth="1"/>
    <col min="10731" max="10731" width="4.77734375" style="75" customWidth="1"/>
    <col min="10732" max="10732" width="37.21875" style="75" bestFit="1" customWidth="1"/>
    <col min="10733" max="10734" width="5.21875" style="75" customWidth="1"/>
    <col min="10735" max="10735" width="12.77734375" style="75" bestFit="1" customWidth="1"/>
    <col min="10736" max="10736" width="13.77734375" style="75" bestFit="1" customWidth="1"/>
    <col min="10737" max="10737" width="5.5546875" style="75" bestFit="1" customWidth="1"/>
    <col min="10738" max="10738" width="14.44140625" style="75" bestFit="1" customWidth="1"/>
    <col min="10739" max="10739" width="8.77734375" style="75"/>
    <col min="10740" max="10740" width="36.44140625" style="75" customWidth="1"/>
    <col min="10741" max="10985" width="8.77734375" style="75"/>
    <col min="10986" max="10986" width="3.5546875" style="75" customWidth="1"/>
    <col min="10987" max="10987" width="4.77734375" style="75" customWidth="1"/>
    <col min="10988" max="10988" width="37.21875" style="75" bestFit="1" customWidth="1"/>
    <col min="10989" max="10990" width="5.21875" style="75" customWidth="1"/>
    <col min="10991" max="10991" width="12.77734375" style="75" bestFit="1" customWidth="1"/>
    <col min="10992" max="10992" width="13.77734375" style="75" bestFit="1" customWidth="1"/>
    <col min="10993" max="10993" width="5.5546875" style="75" bestFit="1" customWidth="1"/>
    <col min="10994" max="10994" width="14.44140625" style="75" bestFit="1" customWidth="1"/>
    <col min="10995" max="10995" width="8.77734375" style="75"/>
    <col min="10996" max="10996" width="36.44140625" style="75" customWidth="1"/>
    <col min="10997" max="11241" width="8.77734375" style="75"/>
    <col min="11242" max="11242" width="3.5546875" style="75" customWidth="1"/>
    <col min="11243" max="11243" width="4.77734375" style="75" customWidth="1"/>
    <col min="11244" max="11244" width="37.21875" style="75" bestFit="1" customWidth="1"/>
    <col min="11245" max="11246" width="5.21875" style="75" customWidth="1"/>
    <col min="11247" max="11247" width="12.77734375" style="75" bestFit="1" customWidth="1"/>
    <col min="11248" max="11248" width="13.77734375" style="75" bestFit="1" customWidth="1"/>
    <col min="11249" max="11249" width="5.5546875" style="75" bestFit="1" customWidth="1"/>
    <col min="11250" max="11250" width="14.44140625" style="75" bestFit="1" customWidth="1"/>
    <col min="11251" max="11251" width="8.77734375" style="75"/>
    <col min="11252" max="11252" width="36.44140625" style="75" customWidth="1"/>
    <col min="11253" max="11497" width="8.77734375" style="75"/>
    <col min="11498" max="11498" width="3.5546875" style="75" customWidth="1"/>
    <col min="11499" max="11499" width="4.77734375" style="75" customWidth="1"/>
    <col min="11500" max="11500" width="37.21875" style="75" bestFit="1" customWidth="1"/>
    <col min="11501" max="11502" width="5.21875" style="75" customWidth="1"/>
    <col min="11503" max="11503" width="12.77734375" style="75" bestFit="1" customWidth="1"/>
    <col min="11504" max="11504" width="13.77734375" style="75" bestFit="1" customWidth="1"/>
    <col min="11505" max="11505" width="5.5546875" style="75" bestFit="1" customWidth="1"/>
    <col min="11506" max="11506" width="14.44140625" style="75" bestFit="1" customWidth="1"/>
    <col min="11507" max="11507" width="8.77734375" style="75"/>
    <col min="11508" max="11508" width="36.44140625" style="75" customWidth="1"/>
    <col min="11509" max="11753" width="8.77734375" style="75"/>
    <col min="11754" max="11754" width="3.5546875" style="75" customWidth="1"/>
    <col min="11755" max="11755" width="4.77734375" style="75" customWidth="1"/>
    <col min="11756" max="11756" width="37.21875" style="75" bestFit="1" customWidth="1"/>
    <col min="11757" max="11758" width="5.21875" style="75" customWidth="1"/>
    <col min="11759" max="11759" width="12.77734375" style="75" bestFit="1" customWidth="1"/>
    <col min="11760" max="11760" width="13.77734375" style="75" bestFit="1" customWidth="1"/>
    <col min="11761" max="11761" width="5.5546875" style="75" bestFit="1" customWidth="1"/>
    <col min="11762" max="11762" width="14.44140625" style="75" bestFit="1" customWidth="1"/>
    <col min="11763" max="11763" width="8.77734375" style="75"/>
    <col min="11764" max="11764" width="36.44140625" style="75" customWidth="1"/>
    <col min="11765" max="12009" width="8.77734375" style="75"/>
    <col min="12010" max="12010" width="3.5546875" style="75" customWidth="1"/>
    <col min="12011" max="12011" width="4.77734375" style="75" customWidth="1"/>
    <col min="12012" max="12012" width="37.21875" style="75" bestFit="1" customWidth="1"/>
    <col min="12013" max="12014" width="5.21875" style="75" customWidth="1"/>
    <col min="12015" max="12015" width="12.77734375" style="75" bestFit="1" customWidth="1"/>
    <col min="12016" max="12016" width="13.77734375" style="75" bestFit="1" customWidth="1"/>
    <col min="12017" max="12017" width="5.5546875" style="75" bestFit="1" customWidth="1"/>
    <col min="12018" max="12018" width="14.44140625" style="75" bestFit="1" customWidth="1"/>
    <col min="12019" max="12019" width="8.77734375" style="75"/>
    <col min="12020" max="12020" width="36.44140625" style="75" customWidth="1"/>
    <col min="12021" max="12265" width="8.77734375" style="75"/>
    <col min="12266" max="12266" width="3.5546875" style="75" customWidth="1"/>
    <col min="12267" max="12267" width="4.77734375" style="75" customWidth="1"/>
    <col min="12268" max="12268" width="37.21875" style="75" bestFit="1" customWidth="1"/>
    <col min="12269" max="12270" width="5.21875" style="75" customWidth="1"/>
    <col min="12271" max="12271" width="12.77734375" style="75" bestFit="1" customWidth="1"/>
    <col min="12272" max="12272" width="13.77734375" style="75" bestFit="1" customWidth="1"/>
    <col min="12273" max="12273" width="5.5546875" style="75" bestFit="1" customWidth="1"/>
    <col min="12274" max="12274" width="14.44140625" style="75" bestFit="1" customWidth="1"/>
    <col min="12275" max="12275" width="8.77734375" style="75"/>
    <col min="12276" max="12276" width="36.44140625" style="75" customWidth="1"/>
    <col min="12277" max="12521" width="8.77734375" style="75"/>
    <col min="12522" max="12522" width="3.5546875" style="75" customWidth="1"/>
    <col min="12523" max="12523" width="4.77734375" style="75" customWidth="1"/>
    <col min="12524" max="12524" width="37.21875" style="75" bestFit="1" customWidth="1"/>
    <col min="12525" max="12526" width="5.21875" style="75" customWidth="1"/>
    <col min="12527" max="12527" width="12.77734375" style="75" bestFit="1" customWidth="1"/>
    <col min="12528" max="12528" width="13.77734375" style="75" bestFit="1" customWidth="1"/>
    <col min="12529" max="12529" width="5.5546875" style="75" bestFit="1" customWidth="1"/>
    <col min="12530" max="12530" width="14.44140625" style="75" bestFit="1" customWidth="1"/>
    <col min="12531" max="12531" width="8.77734375" style="75"/>
    <col min="12532" max="12532" width="36.44140625" style="75" customWidth="1"/>
    <col min="12533" max="12777" width="8.77734375" style="75"/>
    <col min="12778" max="12778" width="3.5546875" style="75" customWidth="1"/>
    <col min="12779" max="12779" width="4.77734375" style="75" customWidth="1"/>
    <col min="12780" max="12780" width="37.21875" style="75" bestFit="1" customWidth="1"/>
    <col min="12781" max="12782" width="5.21875" style="75" customWidth="1"/>
    <col min="12783" max="12783" width="12.77734375" style="75" bestFit="1" customWidth="1"/>
    <col min="12784" max="12784" width="13.77734375" style="75" bestFit="1" customWidth="1"/>
    <col min="12785" max="12785" width="5.5546875" style="75" bestFit="1" customWidth="1"/>
    <col min="12786" max="12786" width="14.44140625" style="75" bestFit="1" customWidth="1"/>
    <col min="12787" max="12787" width="8.77734375" style="75"/>
    <col min="12788" max="12788" width="36.44140625" style="75" customWidth="1"/>
    <col min="12789" max="13033" width="8.77734375" style="75"/>
    <col min="13034" max="13034" width="3.5546875" style="75" customWidth="1"/>
    <col min="13035" max="13035" width="4.77734375" style="75" customWidth="1"/>
    <col min="13036" max="13036" width="37.21875" style="75" bestFit="1" customWidth="1"/>
    <col min="13037" max="13038" width="5.21875" style="75" customWidth="1"/>
    <col min="13039" max="13039" width="12.77734375" style="75" bestFit="1" customWidth="1"/>
    <col min="13040" max="13040" width="13.77734375" style="75" bestFit="1" customWidth="1"/>
    <col min="13041" max="13041" width="5.5546875" style="75" bestFit="1" customWidth="1"/>
    <col min="13042" max="13042" width="14.44140625" style="75" bestFit="1" customWidth="1"/>
    <col min="13043" max="13043" width="8.77734375" style="75"/>
    <col min="13044" max="13044" width="36.44140625" style="75" customWidth="1"/>
    <col min="13045" max="13289" width="8.77734375" style="75"/>
    <col min="13290" max="13290" width="3.5546875" style="75" customWidth="1"/>
    <col min="13291" max="13291" width="4.77734375" style="75" customWidth="1"/>
    <col min="13292" max="13292" width="37.21875" style="75" bestFit="1" customWidth="1"/>
    <col min="13293" max="13294" width="5.21875" style="75" customWidth="1"/>
    <col min="13295" max="13295" width="12.77734375" style="75" bestFit="1" customWidth="1"/>
    <col min="13296" max="13296" width="13.77734375" style="75" bestFit="1" customWidth="1"/>
    <col min="13297" max="13297" width="5.5546875" style="75" bestFit="1" customWidth="1"/>
    <col min="13298" max="13298" width="14.44140625" style="75" bestFit="1" customWidth="1"/>
    <col min="13299" max="13299" width="8.77734375" style="75"/>
    <col min="13300" max="13300" width="36.44140625" style="75" customWidth="1"/>
    <col min="13301" max="13545" width="8.77734375" style="75"/>
    <col min="13546" max="13546" width="3.5546875" style="75" customWidth="1"/>
    <col min="13547" max="13547" width="4.77734375" style="75" customWidth="1"/>
    <col min="13548" max="13548" width="37.21875" style="75" bestFit="1" customWidth="1"/>
    <col min="13549" max="13550" width="5.21875" style="75" customWidth="1"/>
    <col min="13551" max="13551" width="12.77734375" style="75" bestFit="1" customWidth="1"/>
    <col min="13552" max="13552" width="13.77734375" style="75" bestFit="1" customWidth="1"/>
    <col min="13553" max="13553" width="5.5546875" style="75" bestFit="1" customWidth="1"/>
    <col min="13554" max="13554" width="14.44140625" style="75" bestFit="1" customWidth="1"/>
    <col min="13555" max="13555" width="8.77734375" style="75"/>
    <col min="13556" max="13556" width="36.44140625" style="75" customWidth="1"/>
    <col min="13557" max="13801" width="8.77734375" style="75"/>
    <col min="13802" max="13802" width="3.5546875" style="75" customWidth="1"/>
    <col min="13803" max="13803" width="4.77734375" style="75" customWidth="1"/>
    <col min="13804" max="13804" width="37.21875" style="75" bestFit="1" customWidth="1"/>
    <col min="13805" max="13806" width="5.21875" style="75" customWidth="1"/>
    <col min="13807" max="13807" width="12.77734375" style="75" bestFit="1" customWidth="1"/>
    <col min="13808" max="13808" width="13.77734375" style="75" bestFit="1" customWidth="1"/>
    <col min="13809" max="13809" width="5.5546875" style="75" bestFit="1" customWidth="1"/>
    <col min="13810" max="13810" width="14.44140625" style="75" bestFit="1" customWidth="1"/>
    <col min="13811" max="13811" width="8.77734375" style="75"/>
    <col min="13812" max="13812" width="36.44140625" style="75" customWidth="1"/>
    <col min="13813" max="14057" width="8.77734375" style="75"/>
    <col min="14058" max="14058" width="3.5546875" style="75" customWidth="1"/>
    <col min="14059" max="14059" width="4.77734375" style="75" customWidth="1"/>
    <col min="14060" max="14060" width="37.21875" style="75" bestFit="1" customWidth="1"/>
    <col min="14061" max="14062" width="5.21875" style="75" customWidth="1"/>
    <col min="14063" max="14063" width="12.77734375" style="75" bestFit="1" customWidth="1"/>
    <col min="14064" max="14064" width="13.77734375" style="75" bestFit="1" customWidth="1"/>
    <col min="14065" max="14065" width="5.5546875" style="75" bestFit="1" customWidth="1"/>
    <col min="14066" max="14066" width="14.44140625" style="75" bestFit="1" customWidth="1"/>
    <col min="14067" max="14067" width="8.77734375" style="75"/>
    <col min="14068" max="14068" width="36.44140625" style="75" customWidth="1"/>
    <col min="14069" max="14313" width="8.77734375" style="75"/>
    <col min="14314" max="14314" width="3.5546875" style="75" customWidth="1"/>
    <col min="14315" max="14315" width="4.77734375" style="75" customWidth="1"/>
    <col min="14316" max="14316" width="37.21875" style="75" bestFit="1" customWidth="1"/>
    <col min="14317" max="14318" width="5.21875" style="75" customWidth="1"/>
    <col min="14319" max="14319" width="12.77734375" style="75" bestFit="1" customWidth="1"/>
    <col min="14320" max="14320" width="13.77734375" style="75" bestFit="1" customWidth="1"/>
    <col min="14321" max="14321" width="5.5546875" style="75" bestFit="1" customWidth="1"/>
    <col min="14322" max="14322" width="14.44140625" style="75" bestFit="1" customWidth="1"/>
    <col min="14323" max="14323" width="8.77734375" style="75"/>
    <col min="14324" max="14324" width="36.44140625" style="75" customWidth="1"/>
    <col min="14325" max="14569" width="8.77734375" style="75"/>
    <col min="14570" max="14570" width="3.5546875" style="75" customWidth="1"/>
    <col min="14571" max="14571" width="4.77734375" style="75" customWidth="1"/>
    <col min="14572" max="14572" width="37.21875" style="75" bestFit="1" customWidth="1"/>
    <col min="14573" max="14574" width="5.21875" style="75" customWidth="1"/>
    <col min="14575" max="14575" width="12.77734375" style="75" bestFit="1" customWidth="1"/>
    <col min="14576" max="14576" width="13.77734375" style="75" bestFit="1" customWidth="1"/>
    <col min="14577" max="14577" width="5.5546875" style="75" bestFit="1" customWidth="1"/>
    <col min="14578" max="14578" width="14.44140625" style="75" bestFit="1" customWidth="1"/>
    <col min="14579" max="14579" width="8.77734375" style="75"/>
    <col min="14580" max="14580" width="36.44140625" style="75" customWidth="1"/>
    <col min="14581" max="14825" width="8.77734375" style="75"/>
    <col min="14826" max="14826" width="3.5546875" style="75" customWidth="1"/>
    <col min="14827" max="14827" width="4.77734375" style="75" customWidth="1"/>
    <col min="14828" max="14828" width="37.21875" style="75" bestFit="1" customWidth="1"/>
    <col min="14829" max="14830" width="5.21875" style="75" customWidth="1"/>
    <col min="14831" max="14831" width="12.77734375" style="75" bestFit="1" customWidth="1"/>
    <col min="14832" max="14832" width="13.77734375" style="75" bestFit="1" customWidth="1"/>
    <col min="14833" max="14833" width="5.5546875" style="75" bestFit="1" customWidth="1"/>
    <col min="14834" max="14834" width="14.44140625" style="75" bestFit="1" customWidth="1"/>
    <col min="14835" max="14835" width="8.77734375" style="75"/>
    <col min="14836" max="14836" width="36.44140625" style="75" customWidth="1"/>
    <col min="14837" max="15081" width="8.77734375" style="75"/>
    <col min="15082" max="15082" width="3.5546875" style="75" customWidth="1"/>
    <col min="15083" max="15083" width="4.77734375" style="75" customWidth="1"/>
    <col min="15084" max="15084" width="37.21875" style="75" bestFit="1" customWidth="1"/>
    <col min="15085" max="15086" width="5.21875" style="75" customWidth="1"/>
    <col min="15087" max="15087" width="12.77734375" style="75" bestFit="1" customWidth="1"/>
    <col min="15088" max="15088" width="13.77734375" style="75" bestFit="1" customWidth="1"/>
    <col min="15089" max="15089" width="5.5546875" style="75" bestFit="1" customWidth="1"/>
    <col min="15090" max="15090" width="14.44140625" style="75" bestFit="1" customWidth="1"/>
    <col min="15091" max="15091" width="8.77734375" style="75"/>
    <col min="15092" max="15092" width="36.44140625" style="75" customWidth="1"/>
    <col min="15093" max="15337" width="8.77734375" style="75"/>
    <col min="15338" max="15338" width="3.5546875" style="75" customWidth="1"/>
    <col min="15339" max="15339" width="4.77734375" style="75" customWidth="1"/>
    <col min="15340" max="15340" width="37.21875" style="75" bestFit="1" customWidth="1"/>
    <col min="15341" max="15342" width="5.21875" style="75" customWidth="1"/>
    <col min="15343" max="15343" width="12.77734375" style="75" bestFit="1" customWidth="1"/>
    <col min="15344" max="15344" width="13.77734375" style="75" bestFit="1" customWidth="1"/>
    <col min="15345" max="15345" width="5.5546875" style="75" bestFit="1" customWidth="1"/>
    <col min="15346" max="15346" width="14.44140625" style="75" bestFit="1" customWidth="1"/>
    <col min="15347" max="15347" width="8.77734375" style="75"/>
    <col min="15348" max="15348" width="36.44140625" style="75" customWidth="1"/>
    <col min="15349" max="15593" width="8.77734375" style="75"/>
    <col min="15594" max="15594" width="3.5546875" style="75" customWidth="1"/>
    <col min="15595" max="15595" width="4.77734375" style="75" customWidth="1"/>
    <col min="15596" max="15596" width="37.21875" style="75" bestFit="1" customWidth="1"/>
    <col min="15597" max="15598" width="5.21875" style="75" customWidth="1"/>
    <col min="15599" max="15599" width="12.77734375" style="75" bestFit="1" customWidth="1"/>
    <col min="15600" max="15600" width="13.77734375" style="75" bestFit="1" customWidth="1"/>
    <col min="15601" max="15601" width="5.5546875" style="75" bestFit="1" customWidth="1"/>
    <col min="15602" max="15602" width="14.44140625" style="75" bestFit="1" customWidth="1"/>
    <col min="15603" max="15603" width="8.77734375" style="75"/>
    <col min="15604" max="15604" width="36.44140625" style="75" customWidth="1"/>
    <col min="15605" max="15849" width="8.77734375" style="75"/>
    <col min="15850" max="15850" width="3.5546875" style="75" customWidth="1"/>
    <col min="15851" max="15851" width="4.77734375" style="75" customWidth="1"/>
    <col min="15852" max="15852" width="37.21875" style="75" bestFit="1" customWidth="1"/>
    <col min="15853" max="15854" width="5.21875" style="75" customWidth="1"/>
    <col min="15855" max="15855" width="12.77734375" style="75" bestFit="1" customWidth="1"/>
    <col min="15856" max="15856" width="13.77734375" style="75" bestFit="1" customWidth="1"/>
    <col min="15857" max="15857" width="5.5546875" style="75" bestFit="1" customWidth="1"/>
    <col min="15858" max="15858" width="14.44140625" style="75" bestFit="1" customWidth="1"/>
    <col min="15859" max="15859" width="8.77734375" style="75"/>
    <col min="15860" max="15860" width="36.44140625" style="75" customWidth="1"/>
    <col min="15861" max="16105" width="8.77734375" style="75"/>
    <col min="16106" max="16106" width="3.5546875" style="75" customWidth="1"/>
    <col min="16107" max="16107" width="4.77734375" style="75" customWidth="1"/>
    <col min="16108" max="16108" width="37.21875" style="75" bestFit="1" customWidth="1"/>
    <col min="16109" max="16110" width="5.21875" style="75" customWidth="1"/>
    <col min="16111" max="16111" width="12.77734375" style="75" bestFit="1" customWidth="1"/>
    <col min="16112" max="16112" width="13.77734375" style="75" bestFit="1" customWidth="1"/>
    <col min="16113" max="16113" width="5.5546875" style="75" bestFit="1" customWidth="1"/>
    <col min="16114" max="16114" width="14.44140625" style="75" bestFit="1" customWidth="1"/>
    <col min="16115" max="16115" width="8.77734375" style="75"/>
    <col min="16116" max="16116" width="36.44140625" style="75" customWidth="1"/>
    <col min="16117" max="16384" width="8.77734375" style="75"/>
  </cols>
  <sheetData>
    <row r="5" spans="2:9" x14ac:dyDescent="0.3">
      <c r="B5" s="404" t="s">
        <v>467</v>
      </c>
      <c r="C5" s="405"/>
      <c r="D5" s="405"/>
      <c r="E5" s="405"/>
      <c r="F5" s="406"/>
      <c r="G5" s="406"/>
      <c r="H5" s="405"/>
      <c r="I5" s="406"/>
    </row>
    <row r="6" spans="2:9" x14ac:dyDescent="0.3">
      <c r="B6" s="407" t="s">
        <v>144</v>
      </c>
      <c r="C6" s="405" t="str">
        <f>'[1]Covering Letter '!D5</f>
        <v>CS/0202/2025</v>
      </c>
      <c r="D6" s="405"/>
      <c r="E6" s="405"/>
      <c r="F6" s="406"/>
      <c r="G6" s="406"/>
      <c r="H6" s="405"/>
      <c r="I6" s="406"/>
    </row>
    <row r="7" spans="2:9" x14ac:dyDescent="0.3">
      <c r="B7" s="405"/>
      <c r="C7" s="405"/>
      <c r="D7" s="405"/>
      <c r="E7" s="405"/>
      <c r="F7" s="406"/>
      <c r="G7" s="406"/>
      <c r="H7" s="405"/>
      <c r="I7" s="406"/>
    </row>
    <row r="8" spans="2:9" x14ac:dyDescent="0.3">
      <c r="B8" s="585" t="s">
        <v>554</v>
      </c>
      <c r="C8" s="586"/>
      <c r="D8" s="586"/>
      <c r="E8" s="586"/>
      <c r="F8" s="586"/>
      <c r="G8" s="586"/>
      <c r="H8" s="586"/>
      <c r="I8" s="587"/>
    </row>
    <row r="9" spans="2:9" ht="15" thickBot="1" x14ac:dyDescent="0.35">
      <c r="B9" s="588" t="s">
        <v>146</v>
      </c>
      <c r="C9" s="589"/>
      <c r="D9" s="589"/>
      <c r="E9" s="589"/>
      <c r="F9" s="589"/>
      <c r="G9" s="589"/>
      <c r="H9" s="589"/>
      <c r="I9" s="590"/>
    </row>
    <row r="10" spans="2:9" ht="15" thickTop="1" x14ac:dyDescent="0.3">
      <c r="B10" s="591" t="s">
        <v>24</v>
      </c>
      <c r="C10" s="591"/>
      <c r="D10" s="592" t="s">
        <v>545</v>
      </c>
      <c r="E10" s="592"/>
      <c r="F10" s="592"/>
      <c r="G10" s="592"/>
      <c r="H10" s="592"/>
      <c r="I10" s="592"/>
    </row>
    <row r="11" spans="2:9" x14ac:dyDescent="0.3">
      <c r="B11" s="593" t="s">
        <v>26</v>
      </c>
      <c r="C11" s="593"/>
      <c r="D11" s="594" t="s">
        <v>555</v>
      </c>
      <c r="E11" s="595"/>
      <c r="F11" s="595"/>
      <c r="G11" s="595"/>
      <c r="H11" s="595"/>
      <c r="I11" s="595"/>
    </row>
    <row r="12" spans="2:9" x14ac:dyDescent="0.3">
      <c r="B12" s="435"/>
      <c r="C12" s="435"/>
      <c r="D12" s="435"/>
      <c r="E12" s="436"/>
      <c r="F12" s="437"/>
      <c r="G12" s="437"/>
      <c r="H12" s="435"/>
      <c r="I12" s="438"/>
    </row>
    <row r="13" spans="2:9" x14ac:dyDescent="0.3">
      <c r="B13" s="581" t="s">
        <v>572</v>
      </c>
      <c r="C13" s="582"/>
      <c r="D13" s="582"/>
      <c r="E13" s="582"/>
      <c r="F13" s="582"/>
      <c r="G13" s="582"/>
      <c r="H13" s="582"/>
      <c r="I13" s="583"/>
    </row>
    <row r="14" spans="2:9" ht="15" thickBot="1" x14ac:dyDescent="0.35">
      <c r="B14" s="409" t="s">
        <v>45</v>
      </c>
      <c r="C14" s="409" t="s">
        <v>546</v>
      </c>
      <c r="D14" s="584" t="s">
        <v>547</v>
      </c>
      <c r="E14" s="584"/>
      <c r="F14" s="410" t="s">
        <v>548</v>
      </c>
      <c r="G14" s="410" t="s">
        <v>549</v>
      </c>
      <c r="H14" s="409" t="s">
        <v>550</v>
      </c>
      <c r="I14" s="410" t="s">
        <v>551</v>
      </c>
    </row>
    <row r="15" spans="2:9" ht="15" thickTop="1" x14ac:dyDescent="0.3">
      <c r="B15" s="411">
        <v>1</v>
      </c>
      <c r="C15" s="412" t="s">
        <v>236</v>
      </c>
      <c r="D15" s="413">
        <v>5</v>
      </c>
      <c r="E15" s="414" t="s">
        <v>238</v>
      </c>
      <c r="F15" s="415">
        <v>66639.600000000006</v>
      </c>
      <c r="G15" s="416">
        <f>D15*F15</f>
        <v>333198</v>
      </c>
      <c r="H15" s="417">
        <v>1</v>
      </c>
      <c r="I15" s="418">
        <f>G15/H15</f>
        <v>333198</v>
      </c>
    </row>
    <row r="16" spans="2:9" x14ac:dyDescent="0.3">
      <c r="B16" s="411">
        <v>2</v>
      </c>
      <c r="C16" s="412" t="s">
        <v>239</v>
      </c>
      <c r="D16" s="419">
        <v>1</v>
      </c>
      <c r="E16" s="414" t="s">
        <v>240</v>
      </c>
      <c r="F16" s="415">
        <v>46224</v>
      </c>
      <c r="G16" s="416">
        <f>D16*F16</f>
        <v>46224</v>
      </c>
      <c r="H16" s="417">
        <v>1</v>
      </c>
      <c r="I16" s="418">
        <f t="shared" ref="I16:I17" si="0">G16/H16</f>
        <v>46224</v>
      </c>
    </row>
    <row r="17" spans="2:10" x14ac:dyDescent="0.3">
      <c r="B17" s="411">
        <v>3</v>
      </c>
      <c r="C17" s="412" t="s">
        <v>241</v>
      </c>
      <c r="D17" s="419">
        <v>2</v>
      </c>
      <c r="E17" s="414" t="s">
        <v>243</v>
      </c>
      <c r="F17" s="420">
        <v>6720456</v>
      </c>
      <c r="G17" s="416">
        <v>0</v>
      </c>
      <c r="H17" s="417">
        <v>12</v>
      </c>
      <c r="I17" s="418">
        <f t="shared" si="0"/>
        <v>0</v>
      </c>
    </row>
    <row r="18" spans="2:10" x14ac:dyDescent="0.3">
      <c r="B18" s="411">
        <v>4</v>
      </c>
      <c r="C18" s="412" t="s">
        <v>244</v>
      </c>
      <c r="D18" s="421">
        <v>8</v>
      </c>
      <c r="E18" s="422" t="s">
        <v>243</v>
      </c>
      <c r="F18" s="423">
        <v>442851.60000000003</v>
      </c>
      <c r="G18" s="416">
        <f>F18*D18</f>
        <v>3542812.8000000003</v>
      </c>
      <c r="H18" s="424">
        <v>1</v>
      </c>
      <c r="I18" s="425">
        <f>G18/H18</f>
        <v>3542812.8000000003</v>
      </c>
    </row>
    <row r="19" spans="2:10" x14ac:dyDescent="0.3">
      <c r="B19" s="411">
        <v>5</v>
      </c>
      <c r="C19" s="412" t="s">
        <v>245</v>
      </c>
      <c r="D19" s="426">
        <v>9</v>
      </c>
      <c r="E19" s="427" t="s">
        <v>246</v>
      </c>
      <c r="F19" s="420">
        <v>5350000</v>
      </c>
      <c r="G19" s="416">
        <v>0</v>
      </c>
      <c r="H19" s="424">
        <v>12</v>
      </c>
      <c r="I19" s="425">
        <f>G19/H19</f>
        <v>0</v>
      </c>
    </row>
    <row r="20" spans="2:10" x14ac:dyDescent="0.3">
      <c r="B20" s="411">
        <v>6</v>
      </c>
      <c r="C20" s="412" t="s">
        <v>247</v>
      </c>
      <c r="D20" s="421">
        <v>6</v>
      </c>
      <c r="E20" s="422" t="s">
        <v>246</v>
      </c>
      <c r="F20" s="420">
        <v>307614.30000000005</v>
      </c>
      <c r="G20" s="416">
        <f t="shared" ref="G20" si="1">F20*D20</f>
        <v>1845685.8000000003</v>
      </c>
      <c r="H20" s="424">
        <v>12</v>
      </c>
      <c r="I20" s="425">
        <f t="shared" ref="I20" si="2">G20/H20</f>
        <v>153807.15000000002</v>
      </c>
    </row>
    <row r="21" spans="2:10" x14ac:dyDescent="0.3">
      <c r="B21" s="579" t="s">
        <v>553</v>
      </c>
      <c r="C21" s="580"/>
      <c r="D21" s="580"/>
      <c r="E21" s="580"/>
      <c r="F21" s="580"/>
      <c r="G21" s="580"/>
      <c r="H21" s="580"/>
      <c r="I21" s="428">
        <f>SUM(I15:I20)</f>
        <v>4076041.95</v>
      </c>
      <c r="J21" s="434">
        <f>I21/4</f>
        <v>1019010.4875</v>
      </c>
    </row>
    <row r="22" spans="2:10" x14ac:dyDescent="0.3">
      <c r="B22" s="408"/>
      <c r="C22" s="429"/>
      <c r="D22" s="408"/>
      <c r="E22" s="408"/>
      <c r="F22" s="430"/>
      <c r="G22" s="431"/>
      <c r="H22" s="432"/>
      <c r="I22" s="433"/>
      <c r="J22" s="434">
        <f>I21/107%</f>
        <v>3809385</v>
      </c>
    </row>
    <row r="23" spans="2:10" x14ac:dyDescent="0.3">
      <c r="B23" s="581" t="s">
        <v>573</v>
      </c>
      <c r="C23" s="582"/>
      <c r="D23" s="582"/>
      <c r="E23" s="582"/>
      <c r="F23" s="582"/>
      <c r="G23" s="582"/>
      <c r="H23" s="582"/>
      <c r="I23" s="583"/>
      <c r="J23" s="434">
        <f>I21-J22</f>
        <v>266656.95000000019</v>
      </c>
    </row>
    <row r="24" spans="2:10" ht="15" thickBot="1" x14ac:dyDescent="0.35">
      <c r="B24" s="409" t="s">
        <v>45</v>
      </c>
      <c r="C24" s="409" t="s">
        <v>546</v>
      </c>
      <c r="D24" s="584" t="s">
        <v>547</v>
      </c>
      <c r="E24" s="584"/>
      <c r="F24" s="410" t="s">
        <v>548</v>
      </c>
      <c r="G24" s="410" t="s">
        <v>549</v>
      </c>
      <c r="H24" s="409" t="s">
        <v>550</v>
      </c>
      <c r="I24" s="410" t="s">
        <v>551</v>
      </c>
    </row>
    <row r="25" spans="2:10" ht="15" thickTop="1" x14ac:dyDescent="0.3">
      <c r="B25" s="411">
        <v>1</v>
      </c>
      <c r="C25" s="412" t="s">
        <v>556</v>
      </c>
      <c r="D25" s="413">
        <v>0</v>
      </c>
      <c r="E25" s="414" t="s">
        <v>246</v>
      </c>
      <c r="F25" s="415">
        <v>64134612.300000004</v>
      </c>
      <c r="G25" s="416">
        <f>D25*F25</f>
        <v>0</v>
      </c>
      <c r="H25" s="417">
        <v>24</v>
      </c>
      <c r="I25" s="418">
        <f>G25/H25</f>
        <v>0</v>
      </c>
    </row>
    <row r="26" spans="2:10" x14ac:dyDescent="0.3">
      <c r="B26" s="411">
        <v>2</v>
      </c>
      <c r="C26" s="412" t="s">
        <v>251</v>
      </c>
      <c r="D26" s="419">
        <v>0</v>
      </c>
      <c r="E26" s="414" t="s">
        <v>246</v>
      </c>
      <c r="F26" s="415">
        <v>5219460</v>
      </c>
      <c r="G26" s="416">
        <f t="shared" ref="G26:G81" si="3">D26*F26</f>
        <v>0</v>
      </c>
      <c r="H26" s="417">
        <v>24</v>
      </c>
      <c r="I26" s="418">
        <f>G26/H26</f>
        <v>0</v>
      </c>
    </row>
    <row r="27" spans="2:10" x14ac:dyDescent="0.3">
      <c r="B27" s="411">
        <v>3</v>
      </c>
      <c r="C27" s="412" t="s">
        <v>252</v>
      </c>
      <c r="D27" s="419">
        <v>0</v>
      </c>
      <c r="E27" s="414" t="s">
        <v>246</v>
      </c>
      <c r="F27" s="420">
        <v>2275248</v>
      </c>
      <c r="G27" s="416">
        <f t="shared" si="3"/>
        <v>0</v>
      </c>
      <c r="H27" s="417">
        <v>24</v>
      </c>
      <c r="I27" s="418">
        <f t="shared" ref="I27:I81" si="4">G27/H27</f>
        <v>0</v>
      </c>
    </row>
    <row r="28" spans="2:10" x14ac:dyDescent="0.3">
      <c r="B28" s="411">
        <v>4</v>
      </c>
      <c r="C28" s="412" t="s">
        <v>253</v>
      </c>
      <c r="D28" s="421">
        <v>0</v>
      </c>
      <c r="E28" s="422" t="s">
        <v>246</v>
      </c>
      <c r="F28" s="423">
        <v>5343462.3000000007</v>
      </c>
      <c r="G28" s="416">
        <f t="shared" si="3"/>
        <v>0</v>
      </c>
      <c r="H28" s="424">
        <v>24</v>
      </c>
      <c r="I28" s="418">
        <f t="shared" si="4"/>
        <v>0</v>
      </c>
    </row>
    <row r="29" spans="2:10" x14ac:dyDescent="0.3">
      <c r="B29" s="411">
        <v>5</v>
      </c>
      <c r="C29" s="412" t="s">
        <v>255</v>
      </c>
      <c r="D29" s="426">
        <v>0</v>
      </c>
      <c r="E29" s="427" t="s">
        <v>246</v>
      </c>
      <c r="F29" s="420">
        <v>100954.5</v>
      </c>
      <c r="G29" s="416">
        <f t="shared" si="3"/>
        <v>0</v>
      </c>
      <c r="H29" s="424">
        <v>12</v>
      </c>
      <c r="I29" s="418">
        <f t="shared" si="4"/>
        <v>0</v>
      </c>
    </row>
    <row r="30" spans="2:10" x14ac:dyDescent="0.3">
      <c r="B30" s="411">
        <v>6</v>
      </c>
      <c r="C30" s="412" t="s">
        <v>557</v>
      </c>
      <c r="D30" s="426">
        <v>0</v>
      </c>
      <c r="E30" s="427" t="s">
        <v>246</v>
      </c>
      <c r="F30" s="420">
        <v>1899132.3</v>
      </c>
      <c r="G30" s="416">
        <f t="shared" si="3"/>
        <v>0</v>
      </c>
      <c r="H30" s="424">
        <v>24</v>
      </c>
      <c r="I30" s="418">
        <f t="shared" si="4"/>
        <v>0</v>
      </c>
    </row>
    <row r="31" spans="2:10" x14ac:dyDescent="0.3">
      <c r="B31" s="411">
        <v>7</v>
      </c>
      <c r="C31" s="412" t="s">
        <v>568</v>
      </c>
      <c r="D31" s="426">
        <v>0</v>
      </c>
      <c r="E31" s="427" t="s">
        <v>246</v>
      </c>
      <c r="F31" s="420">
        <v>732522</v>
      </c>
      <c r="G31" s="416">
        <f t="shared" si="3"/>
        <v>0</v>
      </c>
      <c r="H31" s="424">
        <v>24</v>
      </c>
      <c r="I31" s="418">
        <f t="shared" si="4"/>
        <v>0</v>
      </c>
    </row>
    <row r="32" spans="2:10" x14ac:dyDescent="0.3">
      <c r="B32" s="411">
        <v>8</v>
      </c>
      <c r="C32" s="412" t="s">
        <v>261</v>
      </c>
      <c r="D32" s="426">
        <v>0</v>
      </c>
      <c r="E32" s="427" t="s">
        <v>246</v>
      </c>
      <c r="F32" s="420">
        <v>1716708</v>
      </c>
      <c r="G32" s="416">
        <f t="shared" si="3"/>
        <v>0</v>
      </c>
      <c r="H32" s="424">
        <v>24</v>
      </c>
      <c r="I32" s="418">
        <f t="shared" si="4"/>
        <v>0</v>
      </c>
    </row>
    <row r="33" spans="2:9" x14ac:dyDescent="0.3">
      <c r="B33" s="411">
        <v>9</v>
      </c>
      <c r="C33" s="412" t="s">
        <v>262</v>
      </c>
      <c r="D33" s="426">
        <v>0</v>
      </c>
      <c r="E33" s="427" t="s">
        <v>246</v>
      </c>
      <c r="F33" s="420">
        <v>3765865</v>
      </c>
      <c r="G33" s="416">
        <f t="shared" si="3"/>
        <v>0</v>
      </c>
      <c r="H33" s="424">
        <v>24</v>
      </c>
      <c r="I33" s="418">
        <f t="shared" si="4"/>
        <v>0</v>
      </c>
    </row>
    <row r="34" spans="2:9" x14ac:dyDescent="0.3">
      <c r="B34" s="411">
        <v>10</v>
      </c>
      <c r="C34" s="412" t="s">
        <v>263</v>
      </c>
      <c r="D34" s="426">
        <v>4</v>
      </c>
      <c r="E34" s="427" t="s">
        <v>246</v>
      </c>
      <c r="F34" s="420">
        <v>44940</v>
      </c>
      <c r="G34" s="416">
        <f t="shared" si="3"/>
        <v>179760</v>
      </c>
      <c r="H34" s="424">
        <v>12</v>
      </c>
      <c r="I34" s="418">
        <f t="shared" si="4"/>
        <v>14980</v>
      </c>
    </row>
    <row r="35" spans="2:9" x14ac:dyDescent="0.3">
      <c r="B35" s="411">
        <v>11</v>
      </c>
      <c r="C35" s="412" t="s">
        <v>569</v>
      </c>
      <c r="D35" s="426">
        <v>0</v>
      </c>
      <c r="E35" s="427" t="s">
        <v>246</v>
      </c>
      <c r="F35" s="420">
        <v>29960</v>
      </c>
      <c r="G35" s="416">
        <f t="shared" si="3"/>
        <v>0</v>
      </c>
      <c r="H35" s="424">
        <v>24</v>
      </c>
      <c r="I35" s="418">
        <f t="shared" si="4"/>
        <v>0</v>
      </c>
    </row>
    <row r="36" spans="2:9" x14ac:dyDescent="0.3">
      <c r="B36" s="411">
        <v>12</v>
      </c>
      <c r="C36" s="412" t="s">
        <v>265</v>
      </c>
      <c r="D36" s="426">
        <v>0</v>
      </c>
      <c r="E36" s="427" t="s">
        <v>246</v>
      </c>
      <c r="F36" s="420">
        <v>37450</v>
      </c>
      <c r="G36" s="416">
        <f t="shared" si="3"/>
        <v>0</v>
      </c>
      <c r="H36" s="424">
        <v>24</v>
      </c>
      <c r="I36" s="418">
        <f t="shared" si="4"/>
        <v>0</v>
      </c>
    </row>
    <row r="37" spans="2:9" x14ac:dyDescent="0.3">
      <c r="B37" s="411">
        <v>13</v>
      </c>
      <c r="C37" s="412" t="s">
        <v>570</v>
      </c>
      <c r="D37" s="426">
        <v>0</v>
      </c>
      <c r="E37" s="427" t="s">
        <v>246</v>
      </c>
      <c r="F37" s="420">
        <v>26750</v>
      </c>
      <c r="G37" s="416">
        <f t="shared" si="3"/>
        <v>0</v>
      </c>
      <c r="H37" s="424">
        <v>24</v>
      </c>
      <c r="I37" s="418">
        <f t="shared" si="4"/>
        <v>0</v>
      </c>
    </row>
    <row r="38" spans="2:9" x14ac:dyDescent="0.3">
      <c r="B38" s="411">
        <v>14</v>
      </c>
      <c r="C38" s="412" t="s">
        <v>571</v>
      </c>
      <c r="D38" s="426">
        <v>0</v>
      </c>
      <c r="E38" s="427" t="s">
        <v>246</v>
      </c>
      <c r="F38" s="420">
        <v>42800</v>
      </c>
      <c r="G38" s="416">
        <f t="shared" si="3"/>
        <v>0</v>
      </c>
      <c r="H38" s="424">
        <v>24</v>
      </c>
      <c r="I38" s="418">
        <f t="shared" si="4"/>
        <v>0</v>
      </c>
    </row>
    <row r="39" spans="2:9" x14ac:dyDescent="0.3">
      <c r="B39" s="411">
        <v>15</v>
      </c>
      <c r="C39" s="412" t="s">
        <v>268</v>
      </c>
      <c r="D39" s="426">
        <v>2</v>
      </c>
      <c r="E39" s="427" t="s">
        <v>246</v>
      </c>
      <c r="F39" s="420">
        <v>160500</v>
      </c>
      <c r="G39" s="416">
        <f t="shared" si="3"/>
        <v>321000</v>
      </c>
      <c r="H39" s="424">
        <v>12</v>
      </c>
      <c r="I39" s="418">
        <f t="shared" si="4"/>
        <v>26750</v>
      </c>
    </row>
    <row r="40" spans="2:9" x14ac:dyDescent="0.3">
      <c r="B40" s="411">
        <v>16</v>
      </c>
      <c r="C40" s="412" t="s">
        <v>269</v>
      </c>
      <c r="D40" s="426">
        <v>2</v>
      </c>
      <c r="E40" s="427" t="s">
        <v>246</v>
      </c>
      <c r="F40" s="420">
        <v>160500</v>
      </c>
      <c r="G40" s="416">
        <f t="shared" si="3"/>
        <v>321000</v>
      </c>
      <c r="H40" s="424">
        <v>24</v>
      </c>
      <c r="I40" s="418">
        <f t="shared" si="4"/>
        <v>13375</v>
      </c>
    </row>
    <row r="41" spans="2:9" x14ac:dyDescent="0.3">
      <c r="B41" s="411">
        <v>17</v>
      </c>
      <c r="C41" s="412" t="s">
        <v>270</v>
      </c>
      <c r="D41" s="426">
        <v>3</v>
      </c>
      <c r="E41" s="427" t="s">
        <v>246</v>
      </c>
      <c r="F41" s="420">
        <v>62060</v>
      </c>
      <c r="G41" s="416">
        <f t="shared" si="3"/>
        <v>186180</v>
      </c>
      <c r="H41" s="424">
        <v>24</v>
      </c>
      <c r="I41" s="418">
        <f t="shared" si="4"/>
        <v>7757.5</v>
      </c>
    </row>
    <row r="42" spans="2:9" x14ac:dyDescent="0.3">
      <c r="B42" s="411">
        <v>18</v>
      </c>
      <c r="C42" s="412" t="s">
        <v>271</v>
      </c>
      <c r="D42" s="426">
        <v>0</v>
      </c>
      <c r="E42" s="427" t="s">
        <v>246</v>
      </c>
      <c r="F42" s="420">
        <v>94160</v>
      </c>
      <c r="G42" s="416">
        <f t="shared" si="3"/>
        <v>0</v>
      </c>
      <c r="H42" s="424">
        <v>24</v>
      </c>
      <c r="I42" s="418">
        <f t="shared" si="4"/>
        <v>0</v>
      </c>
    </row>
    <row r="43" spans="2:9" x14ac:dyDescent="0.3">
      <c r="B43" s="411">
        <v>19</v>
      </c>
      <c r="C43" s="412" t="s">
        <v>272</v>
      </c>
      <c r="D43" s="426">
        <v>0</v>
      </c>
      <c r="E43" s="427" t="s">
        <v>246</v>
      </c>
      <c r="F43" s="420">
        <v>67410</v>
      </c>
      <c r="G43" s="416">
        <f t="shared" si="3"/>
        <v>0</v>
      </c>
      <c r="H43" s="424">
        <v>24</v>
      </c>
      <c r="I43" s="418">
        <f t="shared" si="4"/>
        <v>0</v>
      </c>
    </row>
    <row r="44" spans="2:9" x14ac:dyDescent="0.3">
      <c r="B44" s="411">
        <v>20</v>
      </c>
      <c r="C44" s="412" t="s">
        <v>558</v>
      </c>
      <c r="D44" s="426">
        <v>4</v>
      </c>
      <c r="E44" s="427" t="s">
        <v>246</v>
      </c>
      <c r="F44" s="420">
        <v>107085.6</v>
      </c>
      <c r="G44" s="416">
        <f t="shared" si="3"/>
        <v>428342.4</v>
      </c>
      <c r="H44" s="424">
        <v>12</v>
      </c>
      <c r="I44" s="418">
        <f t="shared" si="4"/>
        <v>35695.200000000004</v>
      </c>
    </row>
    <row r="45" spans="2:9" x14ac:dyDescent="0.3">
      <c r="B45" s="411">
        <v>21</v>
      </c>
      <c r="C45" s="412" t="s">
        <v>274</v>
      </c>
      <c r="D45" s="426">
        <v>2</v>
      </c>
      <c r="E45" s="427" t="s">
        <v>246</v>
      </c>
      <c r="F45" s="420">
        <v>38413</v>
      </c>
      <c r="G45" s="416">
        <f>D45*F45*0</f>
        <v>0</v>
      </c>
      <c r="H45" s="424">
        <v>24</v>
      </c>
      <c r="I45" s="418">
        <f t="shared" si="4"/>
        <v>0</v>
      </c>
    </row>
    <row r="46" spans="2:9" x14ac:dyDescent="0.3">
      <c r="B46" s="411">
        <v>22</v>
      </c>
      <c r="C46" s="412" t="s">
        <v>275</v>
      </c>
      <c r="D46" s="426">
        <v>2</v>
      </c>
      <c r="E46" s="427" t="s">
        <v>246</v>
      </c>
      <c r="F46" s="420">
        <v>32100.000000000004</v>
      </c>
      <c r="G46" s="416">
        <f t="shared" ref="G46:G51" si="5">D46*F46*0</f>
        <v>0</v>
      </c>
      <c r="H46" s="424">
        <v>24</v>
      </c>
      <c r="I46" s="418">
        <f t="shared" si="4"/>
        <v>0</v>
      </c>
    </row>
    <row r="47" spans="2:9" x14ac:dyDescent="0.3">
      <c r="B47" s="411">
        <v>23</v>
      </c>
      <c r="C47" s="412" t="s">
        <v>276</v>
      </c>
      <c r="D47" s="426">
        <v>2</v>
      </c>
      <c r="E47" s="427" t="s">
        <v>246</v>
      </c>
      <c r="F47" s="420">
        <v>37450</v>
      </c>
      <c r="G47" s="416">
        <f t="shared" si="5"/>
        <v>0</v>
      </c>
      <c r="H47" s="424">
        <v>24</v>
      </c>
      <c r="I47" s="418">
        <f t="shared" si="4"/>
        <v>0</v>
      </c>
    </row>
    <row r="48" spans="2:9" x14ac:dyDescent="0.3">
      <c r="B48" s="411">
        <v>24</v>
      </c>
      <c r="C48" s="412" t="s">
        <v>277</v>
      </c>
      <c r="D48" s="426">
        <v>2</v>
      </c>
      <c r="E48" s="427" t="s">
        <v>246</v>
      </c>
      <c r="F48" s="420">
        <v>42800</v>
      </c>
      <c r="G48" s="416">
        <f t="shared" si="5"/>
        <v>0</v>
      </c>
      <c r="H48" s="424">
        <v>24</v>
      </c>
      <c r="I48" s="418">
        <f t="shared" si="4"/>
        <v>0</v>
      </c>
    </row>
    <row r="49" spans="2:9" x14ac:dyDescent="0.3">
      <c r="B49" s="411">
        <v>25</v>
      </c>
      <c r="C49" s="412" t="s">
        <v>278</v>
      </c>
      <c r="D49" s="426">
        <v>2</v>
      </c>
      <c r="E49" s="427" t="s">
        <v>246</v>
      </c>
      <c r="F49" s="420">
        <v>48150</v>
      </c>
      <c r="G49" s="416">
        <f t="shared" si="5"/>
        <v>0</v>
      </c>
      <c r="H49" s="424">
        <v>24</v>
      </c>
      <c r="I49" s="418">
        <f t="shared" si="4"/>
        <v>0</v>
      </c>
    </row>
    <row r="50" spans="2:9" x14ac:dyDescent="0.3">
      <c r="B50" s="411">
        <v>26</v>
      </c>
      <c r="C50" s="412" t="s">
        <v>279</v>
      </c>
      <c r="D50" s="426">
        <v>2</v>
      </c>
      <c r="E50" s="427" t="s">
        <v>246</v>
      </c>
      <c r="F50" s="420">
        <v>53500</v>
      </c>
      <c r="G50" s="416">
        <f t="shared" si="5"/>
        <v>0</v>
      </c>
      <c r="H50" s="424">
        <v>24</v>
      </c>
      <c r="I50" s="418">
        <f t="shared" si="4"/>
        <v>0</v>
      </c>
    </row>
    <row r="51" spans="2:9" x14ac:dyDescent="0.3">
      <c r="B51" s="411">
        <v>27</v>
      </c>
      <c r="C51" s="412" t="s">
        <v>280</v>
      </c>
      <c r="D51" s="426">
        <v>2</v>
      </c>
      <c r="E51" s="427" t="s">
        <v>246</v>
      </c>
      <c r="F51" s="420">
        <v>138030</v>
      </c>
      <c r="G51" s="416">
        <f t="shared" si="5"/>
        <v>0</v>
      </c>
      <c r="H51" s="424">
        <v>24</v>
      </c>
      <c r="I51" s="418">
        <f t="shared" si="4"/>
        <v>0</v>
      </c>
    </row>
    <row r="52" spans="2:9" x14ac:dyDescent="0.3">
      <c r="B52" s="411">
        <v>28</v>
      </c>
      <c r="C52" s="412" t="s">
        <v>281</v>
      </c>
      <c r="D52" s="426">
        <v>10</v>
      </c>
      <c r="E52" s="427" t="s">
        <v>246</v>
      </c>
      <c r="F52" s="420">
        <v>21400</v>
      </c>
      <c r="G52" s="416">
        <f t="shared" si="3"/>
        <v>214000</v>
      </c>
      <c r="H52" s="424">
        <v>24</v>
      </c>
      <c r="I52" s="418">
        <f t="shared" si="4"/>
        <v>8916.6666666666661</v>
      </c>
    </row>
    <row r="53" spans="2:9" x14ac:dyDescent="0.3">
      <c r="B53" s="411">
        <v>29</v>
      </c>
      <c r="C53" s="412" t="s">
        <v>282</v>
      </c>
      <c r="D53" s="426">
        <v>2</v>
      </c>
      <c r="E53" s="427" t="s">
        <v>246</v>
      </c>
      <c r="F53" s="420">
        <v>18725</v>
      </c>
      <c r="G53" s="416">
        <f t="shared" si="3"/>
        <v>37450</v>
      </c>
      <c r="H53" s="424">
        <v>24</v>
      </c>
      <c r="I53" s="418">
        <f t="shared" si="4"/>
        <v>1560.4166666666667</v>
      </c>
    </row>
    <row r="54" spans="2:9" x14ac:dyDescent="0.3">
      <c r="B54" s="411">
        <v>30</v>
      </c>
      <c r="C54" s="412" t="s">
        <v>559</v>
      </c>
      <c r="D54" s="426">
        <v>2</v>
      </c>
      <c r="E54" s="427" t="s">
        <v>246</v>
      </c>
      <c r="F54" s="420">
        <v>138030</v>
      </c>
      <c r="G54" s="416">
        <f>D54*F54*0</f>
        <v>0</v>
      </c>
      <c r="H54" s="424">
        <v>24</v>
      </c>
      <c r="I54" s="418">
        <f t="shared" si="4"/>
        <v>0</v>
      </c>
    </row>
    <row r="55" spans="2:9" x14ac:dyDescent="0.3">
      <c r="B55" s="411">
        <v>31</v>
      </c>
      <c r="C55" s="412" t="s">
        <v>560</v>
      </c>
      <c r="D55" s="426">
        <v>1</v>
      </c>
      <c r="E55" s="427" t="s">
        <v>246</v>
      </c>
      <c r="F55" s="420">
        <v>95230</v>
      </c>
      <c r="G55" s="416">
        <f>D55*F55*0</f>
        <v>0</v>
      </c>
      <c r="H55" s="424">
        <v>24</v>
      </c>
      <c r="I55" s="418">
        <f t="shared" si="4"/>
        <v>0</v>
      </c>
    </row>
    <row r="56" spans="2:9" x14ac:dyDescent="0.3">
      <c r="B56" s="411">
        <v>32</v>
      </c>
      <c r="C56" s="412" t="s">
        <v>285</v>
      </c>
      <c r="D56" s="426">
        <v>2</v>
      </c>
      <c r="E56" s="427" t="s">
        <v>246</v>
      </c>
      <c r="F56" s="420">
        <v>219350</v>
      </c>
      <c r="G56" s="416">
        <f t="shared" si="3"/>
        <v>438700</v>
      </c>
      <c r="H56" s="424">
        <v>24</v>
      </c>
      <c r="I56" s="418">
        <f t="shared" si="4"/>
        <v>18279.166666666668</v>
      </c>
    </row>
    <row r="57" spans="2:9" x14ac:dyDescent="0.3">
      <c r="B57" s="411">
        <v>33</v>
      </c>
      <c r="C57" s="412" t="s">
        <v>552</v>
      </c>
      <c r="D57" s="426">
        <v>1</v>
      </c>
      <c r="E57" s="427" t="s">
        <v>246</v>
      </c>
      <c r="F57" s="420">
        <v>90950</v>
      </c>
      <c r="G57" s="416">
        <f t="shared" si="3"/>
        <v>90950</v>
      </c>
      <c r="H57" s="424">
        <v>24</v>
      </c>
      <c r="I57" s="418">
        <f t="shared" si="4"/>
        <v>3789.5833333333335</v>
      </c>
    </row>
    <row r="58" spans="2:9" x14ac:dyDescent="0.3">
      <c r="B58" s="411">
        <v>34</v>
      </c>
      <c r="C58" s="412" t="s">
        <v>561</v>
      </c>
      <c r="D58" s="426">
        <v>1</v>
      </c>
      <c r="E58" s="427" t="s">
        <v>246</v>
      </c>
      <c r="F58" s="420">
        <v>1186512.3</v>
      </c>
      <c r="G58" s="416">
        <f>D58*F58*0</f>
        <v>0</v>
      </c>
      <c r="H58" s="424">
        <v>24</v>
      </c>
      <c r="I58" s="418">
        <f t="shared" si="4"/>
        <v>0</v>
      </c>
    </row>
    <row r="59" spans="2:9" x14ac:dyDescent="0.3">
      <c r="B59" s="411">
        <v>35</v>
      </c>
      <c r="C59" s="412" t="s">
        <v>562</v>
      </c>
      <c r="D59" s="426">
        <v>1</v>
      </c>
      <c r="E59" s="427" t="s">
        <v>246</v>
      </c>
      <c r="F59" s="420">
        <v>2994930</v>
      </c>
      <c r="G59" s="416">
        <f t="shared" ref="G59:G60" si="6">D59*F59*0</f>
        <v>0</v>
      </c>
      <c r="H59" s="424">
        <v>24</v>
      </c>
      <c r="I59" s="418">
        <f t="shared" si="4"/>
        <v>0</v>
      </c>
    </row>
    <row r="60" spans="2:9" x14ac:dyDescent="0.3">
      <c r="B60" s="411">
        <v>36</v>
      </c>
      <c r="C60" s="412" t="s">
        <v>563</v>
      </c>
      <c r="D60" s="426">
        <v>2</v>
      </c>
      <c r="E60" s="427" t="s">
        <v>246</v>
      </c>
      <c r="F60" s="420">
        <v>1899132.3</v>
      </c>
      <c r="G60" s="416">
        <f t="shared" si="6"/>
        <v>0</v>
      </c>
      <c r="H60" s="424">
        <v>24</v>
      </c>
      <c r="I60" s="418">
        <f t="shared" si="4"/>
        <v>0</v>
      </c>
    </row>
    <row r="61" spans="2:9" s="607" customFormat="1" x14ac:dyDescent="0.3">
      <c r="B61" s="599">
        <v>37</v>
      </c>
      <c r="C61" s="600" t="s">
        <v>292</v>
      </c>
      <c r="D61" s="601">
        <v>0</v>
      </c>
      <c r="E61" s="602" t="s">
        <v>246</v>
      </c>
      <c r="F61" s="603">
        <v>260106.30000000002</v>
      </c>
      <c r="G61" s="604">
        <f t="shared" si="3"/>
        <v>0</v>
      </c>
      <c r="H61" s="605">
        <v>12</v>
      </c>
      <c r="I61" s="606">
        <f t="shared" si="4"/>
        <v>0</v>
      </c>
    </row>
    <row r="62" spans="2:9" x14ac:dyDescent="0.3">
      <c r="B62" s="411">
        <v>38</v>
      </c>
      <c r="C62" s="412" t="s">
        <v>293</v>
      </c>
      <c r="D62" s="426">
        <v>3</v>
      </c>
      <c r="E62" s="427" t="s">
        <v>246</v>
      </c>
      <c r="F62" s="420">
        <v>79608</v>
      </c>
      <c r="G62" s="416">
        <f t="shared" si="3"/>
        <v>238824</v>
      </c>
      <c r="H62" s="424">
        <v>24</v>
      </c>
      <c r="I62" s="418">
        <f t="shared" si="4"/>
        <v>9951</v>
      </c>
    </row>
    <row r="63" spans="2:9" x14ac:dyDescent="0.3">
      <c r="B63" s="411">
        <v>39</v>
      </c>
      <c r="C63" s="412" t="s">
        <v>294</v>
      </c>
      <c r="D63" s="426">
        <v>1</v>
      </c>
      <c r="E63" s="427" t="s">
        <v>295</v>
      </c>
      <c r="F63" s="420">
        <v>283860.3</v>
      </c>
      <c r="G63" s="416">
        <f>D63*F63*0</f>
        <v>0</v>
      </c>
      <c r="H63" s="424">
        <v>12</v>
      </c>
      <c r="I63" s="418">
        <f t="shared" si="4"/>
        <v>0</v>
      </c>
    </row>
    <row r="64" spans="2:9" x14ac:dyDescent="0.3">
      <c r="B64" s="411">
        <v>40</v>
      </c>
      <c r="C64" s="412" t="s">
        <v>296</v>
      </c>
      <c r="D64" s="426">
        <v>2</v>
      </c>
      <c r="E64" s="427" t="s">
        <v>246</v>
      </c>
      <c r="F64" s="420">
        <v>88596</v>
      </c>
      <c r="G64" s="416">
        <f t="shared" si="3"/>
        <v>177192</v>
      </c>
      <c r="H64" s="424">
        <v>24</v>
      </c>
      <c r="I64" s="418">
        <f t="shared" si="4"/>
        <v>7383</v>
      </c>
    </row>
    <row r="65" spans="2:9" x14ac:dyDescent="0.3">
      <c r="B65" s="411">
        <v>41</v>
      </c>
      <c r="C65" s="412" t="s">
        <v>297</v>
      </c>
      <c r="D65" s="426">
        <v>1</v>
      </c>
      <c r="E65" s="427" t="s">
        <v>295</v>
      </c>
      <c r="F65" s="420">
        <v>414507.30000000005</v>
      </c>
      <c r="G65" s="416">
        <f>D65*F65*0</f>
        <v>0</v>
      </c>
      <c r="H65" s="424">
        <v>12</v>
      </c>
      <c r="I65" s="418">
        <f t="shared" si="4"/>
        <v>0</v>
      </c>
    </row>
    <row r="66" spans="2:9" x14ac:dyDescent="0.3">
      <c r="B66" s="411">
        <v>42</v>
      </c>
      <c r="C66" s="412" t="s">
        <v>564</v>
      </c>
      <c r="D66" s="426">
        <v>1</v>
      </c>
      <c r="E66" s="427" t="s">
        <v>246</v>
      </c>
      <c r="F66" s="420">
        <v>53500</v>
      </c>
      <c r="G66" s="416">
        <f t="shared" si="3"/>
        <v>53500</v>
      </c>
      <c r="H66" s="424">
        <v>24</v>
      </c>
      <c r="I66" s="418">
        <f t="shared" si="4"/>
        <v>2229.1666666666665</v>
      </c>
    </row>
    <row r="67" spans="2:9" x14ac:dyDescent="0.3">
      <c r="B67" s="411">
        <v>43</v>
      </c>
      <c r="C67" s="412" t="s">
        <v>299</v>
      </c>
      <c r="D67" s="426">
        <v>1</v>
      </c>
      <c r="E67" s="427" t="s">
        <v>246</v>
      </c>
      <c r="F67" s="420">
        <v>48150</v>
      </c>
      <c r="G67" s="416">
        <f t="shared" si="3"/>
        <v>48150</v>
      </c>
      <c r="H67" s="424">
        <v>24</v>
      </c>
      <c r="I67" s="418">
        <f t="shared" si="4"/>
        <v>2006.25</v>
      </c>
    </row>
    <row r="68" spans="2:9" x14ac:dyDescent="0.3">
      <c r="B68" s="411">
        <v>44</v>
      </c>
      <c r="C68" s="412" t="s">
        <v>300</v>
      </c>
      <c r="D68" s="426">
        <v>1</v>
      </c>
      <c r="E68" s="427" t="s">
        <v>246</v>
      </c>
      <c r="F68" s="420">
        <v>53500</v>
      </c>
      <c r="G68" s="416">
        <f t="shared" si="3"/>
        <v>53500</v>
      </c>
      <c r="H68" s="424">
        <v>24</v>
      </c>
      <c r="I68" s="418">
        <f t="shared" si="4"/>
        <v>2229.1666666666665</v>
      </c>
    </row>
    <row r="69" spans="2:9" x14ac:dyDescent="0.3">
      <c r="B69" s="411">
        <v>45</v>
      </c>
      <c r="C69" s="412" t="s">
        <v>301</v>
      </c>
      <c r="D69" s="426">
        <v>1</v>
      </c>
      <c r="E69" s="427" t="s">
        <v>246</v>
      </c>
      <c r="F69" s="420">
        <v>48150</v>
      </c>
      <c r="G69" s="416">
        <f t="shared" si="3"/>
        <v>48150</v>
      </c>
      <c r="H69" s="424">
        <v>24</v>
      </c>
      <c r="I69" s="418">
        <f t="shared" si="4"/>
        <v>2006.25</v>
      </c>
    </row>
    <row r="70" spans="2:9" x14ac:dyDescent="0.3">
      <c r="B70" s="411">
        <v>46</v>
      </c>
      <c r="C70" s="412" t="s">
        <v>302</v>
      </c>
      <c r="D70" s="426">
        <v>1</v>
      </c>
      <c r="E70" s="427" t="s">
        <v>246</v>
      </c>
      <c r="F70" s="420">
        <v>224475.30000000002</v>
      </c>
      <c r="G70" s="416">
        <f t="shared" si="3"/>
        <v>224475.30000000002</v>
      </c>
      <c r="H70" s="424">
        <v>12</v>
      </c>
      <c r="I70" s="418">
        <f t="shared" si="4"/>
        <v>18706.275000000001</v>
      </c>
    </row>
    <row r="71" spans="2:9" x14ac:dyDescent="0.3">
      <c r="B71" s="411">
        <v>47</v>
      </c>
      <c r="C71" s="412" t="s">
        <v>565</v>
      </c>
      <c r="D71" s="426">
        <v>2</v>
      </c>
      <c r="E71" s="427" t="s">
        <v>243</v>
      </c>
      <c r="F71" s="420">
        <v>1186512.3</v>
      </c>
      <c r="G71" s="416">
        <f t="shared" si="3"/>
        <v>2373024.6</v>
      </c>
      <c r="H71" s="424">
        <v>24</v>
      </c>
      <c r="I71" s="418">
        <f t="shared" si="4"/>
        <v>98876.025000000009</v>
      </c>
    </row>
    <row r="72" spans="2:9" x14ac:dyDescent="0.3">
      <c r="B72" s="411">
        <v>48</v>
      </c>
      <c r="C72" s="412" t="s">
        <v>305</v>
      </c>
      <c r="D72" s="426">
        <v>2</v>
      </c>
      <c r="E72" s="427" t="s">
        <v>246</v>
      </c>
      <c r="F72" s="420">
        <v>111708</v>
      </c>
      <c r="G72" s="416">
        <f t="shared" si="3"/>
        <v>223416</v>
      </c>
      <c r="H72" s="424">
        <v>24</v>
      </c>
      <c r="I72" s="418">
        <f t="shared" si="4"/>
        <v>9309</v>
      </c>
    </row>
    <row r="73" spans="2:9" x14ac:dyDescent="0.3">
      <c r="B73" s="411">
        <v>49</v>
      </c>
      <c r="C73" s="412" t="s">
        <v>306</v>
      </c>
      <c r="D73" s="426">
        <v>2</v>
      </c>
      <c r="E73" s="427" t="s">
        <v>295</v>
      </c>
      <c r="F73" s="420">
        <v>28890</v>
      </c>
      <c r="G73" s="416">
        <f t="shared" si="3"/>
        <v>57780</v>
      </c>
      <c r="H73" s="424">
        <v>24</v>
      </c>
      <c r="I73" s="418">
        <f t="shared" si="4"/>
        <v>2407.5</v>
      </c>
    </row>
    <row r="74" spans="2:9" x14ac:dyDescent="0.3">
      <c r="B74" s="411">
        <v>50</v>
      </c>
      <c r="C74" s="412" t="s">
        <v>307</v>
      </c>
      <c r="D74" s="426">
        <v>3</v>
      </c>
      <c r="E74" s="427" t="s">
        <v>246</v>
      </c>
      <c r="F74" s="420">
        <v>758940.3</v>
      </c>
      <c r="G74" s="416">
        <f t="shared" si="3"/>
        <v>2276820.9000000004</v>
      </c>
      <c r="H74" s="424">
        <v>24</v>
      </c>
      <c r="I74" s="418">
        <f t="shared" si="4"/>
        <v>94867.53750000002</v>
      </c>
    </row>
    <row r="75" spans="2:9" x14ac:dyDescent="0.3">
      <c r="B75" s="411">
        <v>51</v>
      </c>
      <c r="C75" s="412" t="s">
        <v>308</v>
      </c>
      <c r="D75" s="426">
        <v>3</v>
      </c>
      <c r="E75" s="427" t="s">
        <v>246</v>
      </c>
      <c r="F75" s="420">
        <v>271983.3</v>
      </c>
      <c r="G75" s="416">
        <f t="shared" si="3"/>
        <v>815949.89999999991</v>
      </c>
      <c r="H75" s="424">
        <v>24</v>
      </c>
      <c r="I75" s="418">
        <f t="shared" si="4"/>
        <v>33997.912499999999</v>
      </c>
    </row>
    <row r="76" spans="2:9" x14ac:dyDescent="0.3">
      <c r="B76" s="411">
        <v>52</v>
      </c>
      <c r="C76" s="412" t="s">
        <v>311</v>
      </c>
      <c r="D76" s="426">
        <v>2</v>
      </c>
      <c r="E76" s="427" t="s">
        <v>246</v>
      </c>
      <c r="F76" s="420">
        <v>200721.30000000002</v>
      </c>
      <c r="G76" s="416">
        <f t="shared" si="3"/>
        <v>401442.60000000003</v>
      </c>
      <c r="H76" s="424">
        <v>12</v>
      </c>
      <c r="I76" s="418">
        <f t="shared" si="4"/>
        <v>33453.550000000003</v>
      </c>
    </row>
    <row r="77" spans="2:9" x14ac:dyDescent="0.3">
      <c r="B77" s="411">
        <v>53</v>
      </c>
      <c r="C77" s="412" t="s">
        <v>566</v>
      </c>
      <c r="D77" s="426">
        <v>2</v>
      </c>
      <c r="E77" s="427" t="s">
        <v>246</v>
      </c>
      <c r="F77" s="420">
        <v>286332</v>
      </c>
      <c r="G77" s="416">
        <f t="shared" si="3"/>
        <v>572664</v>
      </c>
      <c r="H77" s="424">
        <v>12</v>
      </c>
      <c r="I77" s="418">
        <f t="shared" si="4"/>
        <v>47722</v>
      </c>
    </row>
    <row r="78" spans="2:9" x14ac:dyDescent="0.3">
      <c r="B78" s="411">
        <v>54</v>
      </c>
      <c r="C78" s="412" t="s">
        <v>567</v>
      </c>
      <c r="D78" s="426">
        <v>2</v>
      </c>
      <c r="E78" s="427" t="s">
        <v>246</v>
      </c>
      <c r="F78" s="420">
        <v>109140</v>
      </c>
      <c r="G78" s="416">
        <f t="shared" si="3"/>
        <v>218280</v>
      </c>
      <c r="H78" s="424">
        <v>12</v>
      </c>
      <c r="I78" s="418">
        <f t="shared" si="4"/>
        <v>18190</v>
      </c>
    </row>
    <row r="79" spans="2:9" x14ac:dyDescent="0.3">
      <c r="B79" s="411">
        <v>55</v>
      </c>
      <c r="C79" s="412" t="s">
        <v>315</v>
      </c>
      <c r="D79" s="426">
        <v>2</v>
      </c>
      <c r="E79" s="427" t="s">
        <v>295</v>
      </c>
      <c r="F79" s="420">
        <v>1573542</v>
      </c>
      <c r="G79" s="416">
        <f>D79*F79</f>
        <v>3147084</v>
      </c>
      <c r="H79" s="424">
        <v>24</v>
      </c>
      <c r="I79" s="418">
        <f t="shared" si="4"/>
        <v>131128.5</v>
      </c>
    </row>
    <row r="80" spans="2:9" x14ac:dyDescent="0.3">
      <c r="B80" s="411">
        <v>56</v>
      </c>
      <c r="C80" s="412" t="s">
        <v>316</v>
      </c>
      <c r="D80" s="426">
        <v>1</v>
      </c>
      <c r="E80" s="427" t="s">
        <v>246</v>
      </c>
      <c r="F80" s="420">
        <v>1305282.3</v>
      </c>
      <c r="G80" s="416">
        <f t="shared" si="3"/>
        <v>1305282.3</v>
      </c>
      <c r="H80" s="424">
        <v>12</v>
      </c>
      <c r="I80" s="418">
        <f t="shared" si="4"/>
        <v>108773.52500000001</v>
      </c>
    </row>
    <row r="81" spans="2:10" x14ac:dyDescent="0.3">
      <c r="B81" s="411">
        <v>57</v>
      </c>
      <c r="C81" s="412" t="s">
        <v>317</v>
      </c>
      <c r="D81" s="426">
        <v>5</v>
      </c>
      <c r="E81" s="427" t="s">
        <v>246</v>
      </c>
      <c r="F81" s="420">
        <v>323025.51</v>
      </c>
      <c r="G81" s="416">
        <f t="shared" si="3"/>
        <v>1615127.55</v>
      </c>
      <c r="H81" s="424">
        <v>6</v>
      </c>
      <c r="I81" s="418">
        <f t="shared" si="4"/>
        <v>269187.92499999999</v>
      </c>
    </row>
    <row r="82" spans="2:10" x14ac:dyDescent="0.3">
      <c r="B82" s="411">
        <v>58</v>
      </c>
      <c r="C82" s="412" t="s">
        <v>594</v>
      </c>
      <c r="D82" s="426">
        <v>400</v>
      </c>
      <c r="E82" s="427" t="s">
        <v>595</v>
      </c>
      <c r="F82" s="420">
        <f>133000*120%</f>
        <v>159600</v>
      </c>
      <c r="G82" s="416">
        <f t="shared" ref="G82" si="7">D82*F82</f>
        <v>63840000</v>
      </c>
      <c r="H82" s="424">
        <v>12</v>
      </c>
      <c r="I82" s="418">
        <f t="shared" ref="I82" si="8">G82/H82</f>
        <v>5320000</v>
      </c>
    </row>
    <row r="83" spans="2:10" x14ac:dyDescent="0.3">
      <c r="B83" s="579" t="s">
        <v>553</v>
      </c>
      <c r="C83" s="580"/>
      <c r="D83" s="580"/>
      <c r="E83" s="580"/>
      <c r="F83" s="580"/>
      <c r="G83" s="580"/>
      <c r="H83" s="580"/>
      <c r="I83" s="428">
        <f>SUM(I25:I82)</f>
        <v>6343528.1166666672</v>
      </c>
      <c r="J83" s="434">
        <f>I83/107%</f>
        <v>5928530.950155763</v>
      </c>
    </row>
    <row r="84" spans="2:10" x14ac:dyDescent="0.3">
      <c r="J84" s="434">
        <f>I83-J83</f>
        <v>414997.16651090421</v>
      </c>
    </row>
    <row r="85" spans="2:10" x14ac:dyDescent="0.3">
      <c r="B85" s="581" t="s">
        <v>574</v>
      </c>
      <c r="C85" s="582"/>
      <c r="D85" s="582"/>
      <c r="E85" s="582"/>
      <c r="F85" s="582"/>
      <c r="G85" s="582"/>
      <c r="H85" s="582"/>
      <c r="I85" s="583"/>
    </row>
    <row r="86" spans="2:10" ht="15" thickBot="1" x14ac:dyDescent="0.35">
      <c r="B86" s="409" t="s">
        <v>45</v>
      </c>
      <c r="C86" s="409" t="s">
        <v>546</v>
      </c>
      <c r="D86" s="584" t="s">
        <v>547</v>
      </c>
      <c r="E86" s="584"/>
      <c r="F86" s="410" t="s">
        <v>548</v>
      </c>
      <c r="G86" s="410" t="s">
        <v>549</v>
      </c>
      <c r="H86" s="409" t="s">
        <v>550</v>
      </c>
      <c r="I86" s="410" t="s">
        <v>551</v>
      </c>
    </row>
    <row r="87" spans="2:10" ht="15" thickTop="1" x14ac:dyDescent="0.3">
      <c r="B87" s="411">
        <v>1</v>
      </c>
      <c r="C87" s="412" t="s">
        <v>319</v>
      </c>
      <c r="D87" s="413">
        <v>3</v>
      </c>
      <c r="E87" s="414" t="s">
        <v>246</v>
      </c>
      <c r="F87" s="415">
        <v>417300</v>
      </c>
      <c r="G87" s="416">
        <f>D87*F87*0</f>
        <v>0</v>
      </c>
      <c r="H87" s="417">
        <v>24</v>
      </c>
      <c r="I87" s="418">
        <f>G87/H87</f>
        <v>0</v>
      </c>
    </row>
    <row r="88" spans="2:10" s="607" customFormat="1" x14ac:dyDescent="0.3">
      <c r="B88" s="599">
        <v>2</v>
      </c>
      <c r="C88" s="600" t="s">
        <v>322</v>
      </c>
      <c r="D88" s="608">
        <v>3</v>
      </c>
      <c r="E88" s="609" t="s">
        <v>246</v>
      </c>
      <c r="F88" s="606">
        <v>66340</v>
      </c>
      <c r="G88" s="604">
        <f t="shared" ref="G88:G107" si="9">D88*F88</f>
        <v>199020</v>
      </c>
      <c r="H88" s="605">
        <v>1</v>
      </c>
      <c r="I88" s="606">
        <f>G88/H88</f>
        <v>199020</v>
      </c>
    </row>
    <row r="89" spans="2:10" x14ac:dyDescent="0.3">
      <c r="B89" s="411">
        <v>3</v>
      </c>
      <c r="C89" s="412" t="s">
        <v>325</v>
      </c>
      <c r="D89" s="419">
        <v>3</v>
      </c>
      <c r="E89" s="414" t="s">
        <v>246</v>
      </c>
      <c r="F89" s="420">
        <v>251985.00000000003</v>
      </c>
      <c r="G89" s="416">
        <f t="shared" si="9"/>
        <v>755955.00000000012</v>
      </c>
      <c r="H89" s="417">
        <v>12</v>
      </c>
      <c r="I89" s="418">
        <f t="shared" ref="I89:I142" si="10">G89/H89</f>
        <v>62996.250000000007</v>
      </c>
    </row>
    <row r="90" spans="2:10" x14ac:dyDescent="0.3">
      <c r="B90" s="411">
        <v>4</v>
      </c>
      <c r="C90" s="412" t="s">
        <v>575</v>
      </c>
      <c r="D90" s="421">
        <v>3</v>
      </c>
      <c r="E90" s="422" t="s">
        <v>246</v>
      </c>
      <c r="F90" s="423">
        <v>502900.00000000006</v>
      </c>
      <c r="G90" s="416">
        <f>D90*F90*0</f>
        <v>0</v>
      </c>
      <c r="H90" s="424">
        <v>24</v>
      </c>
      <c r="I90" s="418">
        <f t="shared" si="10"/>
        <v>0</v>
      </c>
    </row>
    <row r="91" spans="2:10" x14ac:dyDescent="0.3">
      <c r="B91" s="411">
        <v>5</v>
      </c>
      <c r="C91" s="412" t="s">
        <v>331</v>
      </c>
      <c r="D91" s="426">
        <v>5</v>
      </c>
      <c r="E91" s="427" t="s">
        <v>246</v>
      </c>
      <c r="F91" s="420">
        <v>16050.000000000002</v>
      </c>
      <c r="G91" s="416">
        <f t="shared" si="9"/>
        <v>80250.000000000015</v>
      </c>
      <c r="H91" s="424">
        <v>2</v>
      </c>
      <c r="I91" s="418">
        <f t="shared" si="10"/>
        <v>40125.000000000007</v>
      </c>
    </row>
    <row r="92" spans="2:10" x14ac:dyDescent="0.3">
      <c r="B92" s="411">
        <v>6</v>
      </c>
      <c r="C92" s="412" t="s">
        <v>334</v>
      </c>
      <c r="D92" s="426">
        <v>4</v>
      </c>
      <c r="E92" s="427" t="s">
        <v>246</v>
      </c>
      <c r="F92" s="420">
        <v>37450</v>
      </c>
      <c r="G92" s="416">
        <f t="shared" si="9"/>
        <v>149800</v>
      </c>
      <c r="H92" s="424">
        <v>3</v>
      </c>
      <c r="I92" s="418">
        <f t="shared" si="10"/>
        <v>49933.333333333336</v>
      </c>
    </row>
    <row r="93" spans="2:10" x14ac:dyDescent="0.3">
      <c r="B93" s="411">
        <v>7</v>
      </c>
      <c r="C93" s="412" t="s">
        <v>337</v>
      </c>
      <c r="D93" s="426">
        <v>3</v>
      </c>
      <c r="E93" s="427" t="s">
        <v>246</v>
      </c>
      <c r="F93" s="420">
        <v>1947400</v>
      </c>
      <c r="G93" s="416">
        <f>D93*F93*0</f>
        <v>0</v>
      </c>
      <c r="H93" s="424">
        <v>24</v>
      </c>
      <c r="I93" s="418">
        <f t="shared" si="10"/>
        <v>0</v>
      </c>
    </row>
    <row r="94" spans="2:10" x14ac:dyDescent="0.3">
      <c r="B94" s="411">
        <v>8</v>
      </c>
      <c r="C94" s="412" t="s">
        <v>339</v>
      </c>
      <c r="D94" s="426">
        <v>3</v>
      </c>
      <c r="E94" s="427" t="s">
        <v>246</v>
      </c>
      <c r="F94" s="420">
        <v>1284000</v>
      </c>
      <c r="G94" s="416">
        <f t="shared" si="9"/>
        <v>3852000</v>
      </c>
      <c r="H94" s="424">
        <v>12</v>
      </c>
      <c r="I94" s="418">
        <f t="shared" si="10"/>
        <v>321000</v>
      </c>
    </row>
    <row r="95" spans="2:10" x14ac:dyDescent="0.3">
      <c r="B95" s="411">
        <v>9</v>
      </c>
      <c r="C95" s="412" t="s">
        <v>342</v>
      </c>
      <c r="D95" s="426">
        <v>3</v>
      </c>
      <c r="E95" s="427" t="s">
        <v>246</v>
      </c>
      <c r="F95" s="420">
        <v>25680</v>
      </c>
      <c r="G95" s="416">
        <f t="shared" si="9"/>
        <v>77040</v>
      </c>
      <c r="H95" s="424">
        <v>12</v>
      </c>
      <c r="I95" s="418">
        <f t="shared" si="10"/>
        <v>6420</v>
      </c>
    </row>
    <row r="96" spans="2:10" x14ac:dyDescent="0.3">
      <c r="B96" s="411">
        <v>10</v>
      </c>
      <c r="C96" s="412" t="s">
        <v>345</v>
      </c>
      <c r="D96" s="426">
        <v>3</v>
      </c>
      <c r="E96" s="427" t="s">
        <v>246</v>
      </c>
      <c r="F96" s="420">
        <v>572450</v>
      </c>
      <c r="G96" s="416">
        <f>D96*F96*0</f>
        <v>0</v>
      </c>
      <c r="H96" s="424">
        <v>24</v>
      </c>
      <c r="I96" s="418">
        <f t="shared" si="10"/>
        <v>0</v>
      </c>
    </row>
    <row r="97" spans="2:9" x14ac:dyDescent="0.3">
      <c r="B97" s="411">
        <v>11</v>
      </c>
      <c r="C97" s="412" t="s">
        <v>348</v>
      </c>
      <c r="D97" s="426">
        <v>3</v>
      </c>
      <c r="E97" s="427" t="s">
        <v>246</v>
      </c>
      <c r="F97" s="420">
        <v>177620</v>
      </c>
      <c r="G97" s="416">
        <f>D97*F97*0</f>
        <v>0</v>
      </c>
      <c r="H97" s="424">
        <v>12</v>
      </c>
      <c r="I97" s="418">
        <f t="shared" si="10"/>
        <v>0</v>
      </c>
    </row>
    <row r="98" spans="2:9" x14ac:dyDescent="0.3">
      <c r="B98" s="411">
        <v>12</v>
      </c>
      <c r="C98" s="412" t="s">
        <v>351</v>
      </c>
      <c r="D98" s="426">
        <v>2</v>
      </c>
      <c r="E98" s="427" t="s">
        <v>246</v>
      </c>
      <c r="F98" s="420">
        <v>42800</v>
      </c>
      <c r="G98" s="416">
        <f t="shared" si="9"/>
        <v>85600</v>
      </c>
      <c r="H98" s="424">
        <v>12</v>
      </c>
      <c r="I98" s="418">
        <f t="shared" si="10"/>
        <v>7133.333333333333</v>
      </c>
    </row>
    <row r="99" spans="2:9" s="607" customFormat="1" x14ac:dyDescent="0.3">
      <c r="B99" s="599">
        <v>13</v>
      </c>
      <c r="C99" s="600" t="s">
        <v>354</v>
      </c>
      <c r="D99" s="601">
        <v>1</v>
      </c>
      <c r="E99" s="602" t="s">
        <v>246</v>
      </c>
      <c r="F99" s="603">
        <v>214000</v>
      </c>
      <c r="G99" s="604">
        <f>D99*F99*0</f>
        <v>0</v>
      </c>
      <c r="H99" s="605">
        <v>12</v>
      </c>
      <c r="I99" s="606">
        <f t="shared" si="10"/>
        <v>0</v>
      </c>
    </row>
    <row r="100" spans="2:9" s="607" customFormat="1" x14ac:dyDescent="0.3">
      <c r="B100" s="599">
        <v>14</v>
      </c>
      <c r="C100" s="600" t="s">
        <v>354</v>
      </c>
      <c r="D100" s="601">
        <v>1</v>
      </c>
      <c r="E100" s="602" t="s">
        <v>246</v>
      </c>
      <c r="F100" s="603">
        <v>695500</v>
      </c>
      <c r="G100" s="604">
        <f>D100*F100*0</f>
        <v>0</v>
      </c>
      <c r="H100" s="605">
        <v>12</v>
      </c>
      <c r="I100" s="606">
        <f t="shared" si="10"/>
        <v>0</v>
      </c>
    </row>
    <row r="101" spans="2:9" s="607" customFormat="1" x14ac:dyDescent="0.3">
      <c r="B101" s="599">
        <v>15</v>
      </c>
      <c r="C101" s="600" t="s">
        <v>354</v>
      </c>
      <c r="D101" s="601">
        <v>1</v>
      </c>
      <c r="E101" s="602" t="s">
        <v>246</v>
      </c>
      <c r="F101" s="603">
        <v>310300</v>
      </c>
      <c r="G101" s="604">
        <f>D101*F101*0</f>
        <v>0</v>
      </c>
      <c r="H101" s="605">
        <v>12</v>
      </c>
      <c r="I101" s="606">
        <f t="shared" si="10"/>
        <v>0</v>
      </c>
    </row>
    <row r="102" spans="2:9" x14ac:dyDescent="0.3">
      <c r="B102" s="411">
        <v>16</v>
      </c>
      <c r="C102" s="412" t="s">
        <v>255</v>
      </c>
      <c r="D102" s="426">
        <v>5</v>
      </c>
      <c r="E102" s="427" t="s">
        <v>246</v>
      </c>
      <c r="F102" s="420">
        <v>160500</v>
      </c>
      <c r="G102" s="416">
        <f t="shared" si="9"/>
        <v>802500</v>
      </c>
      <c r="H102" s="424">
        <v>3</v>
      </c>
      <c r="I102" s="418">
        <f t="shared" si="10"/>
        <v>267500</v>
      </c>
    </row>
    <row r="103" spans="2:9" x14ac:dyDescent="0.3">
      <c r="B103" s="411">
        <v>17</v>
      </c>
      <c r="C103" s="412" t="s">
        <v>363</v>
      </c>
      <c r="D103" s="426">
        <v>2</v>
      </c>
      <c r="E103" s="427" t="s">
        <v>246</v>
      </c>
      <c r="F103" s="420">
        <v>1016500.0000000001</v>
      </c>
      <c r="G103" s="416">
        <f t="shared" si="9"/>
        <v>2033000.0000000002</v>
      </c>
      <c r="H103" s="424">
        <v>12</v>
      </c>
      <c r="I103" s="418">
        <f t="shared" si="10"/>
        <v>169416.66666666669</v>
      </c>
    </row>
    <row r="104" spans="2:9" x14ac:dyDescent="0.3">
      <c r="B104" s="411">
        <v>18</v>
      </c>
      <c r="C104" s="412" t="s">
        <v>366</v>
      </c>
      <c r="D104" s="426">
        <v>1</v>
      </c>
      <c r="E104" s="427" t="s">
        <v>246</v>
      </c>
      <c r="F104" s="420">
        <v>3638000</v>
      </c>
      <c r="G104" s="416">
        <f>D104*F104*0</f>
        <v>0</v>
      </c>
      <c r="H104" s="424">
        <v>12</v>
      </c>
      <c r="I104" s="418">
        <f t="shared" si="10"/>
        <v>0</v>
      </c>
    </row>
    <row r="105" spans="2:9" x14ac:dyDescent="0.3">
      <c r="B105" s="411">
        <v>19</v>
      </c>
      <c r="C105" s="412" t="s">
        <v>369</v>
      </c>
      <c r="D105" s="426">
        <v>5</v>
      </c>
      <c r="E105" s="427" t="s">
        <v>246</v>
      </c>
      <c r="F105" s="420">
        <v>85493</v>
      </c>
      <c r="G105" s="416">
        <f>D105*F105*0</f>
        <v>0</v>
      </c>
      <c r="H105" s="424">
        <v>24</v>
      </c>
      <c r="I105" s="418">
        <f t="shared" si="10"/>
        <v>0</v>
      </c>
    </row>
    <row r="106" spans="2:9" x14ac:dyDescent="0.3">
      <c r="B106" s="411">
        <v>20</v>
      </c>
      <c r="C106" s="412" t="s">
        <v>371</v>
      </c>
      <c r="D106" s="426">
        <v>2</v>
      </c>
      <c r="E106" s="427" t="s">
        <v>246</v>
      </c>
      <c r="F106" s="420">
        <v>28890</v>
      </c>
      <c r="G106" s="416">
        <f t="shared" si="9"/>
        <v>57780</v>
      </c>
      <c r="H106" s="424">
        <v>12</v>
      </c>
      <c r="I106" s="418">
        <f t="shared" si="10"/>
        <v>4815</v>
      </c>
    </row>
    <row r="107" spans="2:9" x14ac:dyDescent="0.3">
      <c r="B107" s="411">
        <v>21</v>
      </c>
      <c r="C107" s="412" t="s">
        <v>373</v>
      </c>
      <c r="D107" s="426">
        <v>2</v>
      </c>
      <c r="E107" s="427" t="s">
        <v>246</v>
      </c>
      <c r="F107" s="420">
        <v>641893</v>
      </c>
      <c r="G107" s="416">
        <f t="shared" si="9"/>
        <v>1283786</v>
      </c>
      <c r="H107" s="424">
        <v>12</v>
      </c>
      <c r="I107" s="418">
        <f t="shared" si="10"/>
        <v>106982.16666666667</v>
      </c>
    </row>
    <row r="108" spans="2:9" x14ac:dyDescent="0.3">
      <c r="B108" s="411">
        <v>22</v>
      </c>
      <c r="C108" s="412" t="s">
        <v>280</v>
      </c>
      <c r="D108" s="426">
        <v>3</v>
      </c>
      <c r="E108" s="427" t="s">
        <v>246</v>
      </c>
      <c r="F108" s="420">
        <v>115025</v>
      </c>
      <c r="G108" s="416">
        <f t="shared" ref="G108:G121" si="11">D108*F108*0</f>
        <v>0</v>
      </c>
      <c r="H108" s="424">
        <v>24</v>
      </c>
      <c r="I108" s="418">
        <f t="shared" si="10"/>
        <v>0</v>
      </c>
    </row>
    <row r="109" spans="2:9" x14ac:dyDescent="0.3">
      <c r="B109" s="411">
        <v>23</v>
      </c>
      <c r="C109" s="412" t="s">
        <v>376</v>
      </c>
      <c r="D109" s="426">
        <v>3</v>
      </c>
      <c r="E109" s="427" t="s">
        <v>246</v>
      </c>
      <c r="F109" s="420">
        <v>393760</v>
      </c>
      <c r="G109" s="416">
        <f>D109*F109</f>
        <v>1181280</v>
      </c>
      <c r="H109" s="424">
        <v>12</v>
      </c>
      <c r="I109" s="418">
        <f t="shared" si="10"/>
        <v>98440</v>
      </c>
    </row>
    <row r="110" spans="2:9" s="607" customFormat="1" x14ac:dyDescent="0.3">
      <c r="B110" s="599">
        <v>24</v>
      </c>
      <c r="C110" s="600" t="s">
        <v>378</v>
      </c>
      <c r="D110" s="601">
        <v>5</v>
      </c>
      <c r="E110" s="602" t="s">
        <v>246</v>
      </c>
      <c r="F110" s="603">
        <v>1310750</v>
      </c>
      <c r="G110" s="604">
        <f>D110*F110</f>
        <v>6553750</v>
      </c>
      <c r="H110" s="605">
        <v>3</v>
      </c>
      <c r="I110" s="606">
        <f t="shared" si="10"/>
        <v>2184583.3333333335</v>
      </c>
    </row>
    <row r="111" spans="2:9" s="607" customFormat="1" x14ac:dyDescent="0.3">
      <c r="B111" s="599">
        <v>25</v>
      </c>
      <c r="C111" s="600" t="s">
        <v>381</v>
      </c>
      <c r="D111" s="601">
        <v>10</v>
      </c>
      <c r="E111" s="602" t="s">
        <v>246</v>
      </c>
      <c r="F111" s="603">
        <v>1273300</v>
      </c>
      <c r="G111" s="604">
        <f>D111*F111</f>
        <v>12733000</v>
      </c>
      <c r="H111" s="605">
        <v>3</v>
      </c>
      <c r="I111" s="606">
        <f t="shared" si="10"/>
        <v>4244333.333333333</v>
      </c>
    </row>
    <row r="112" spans="2:9" s="607" customFormat="1" x14ac:dyDescent="0.3">
      <c r="B112" s="599">
        <v>26</v>
      </c>
      <c r="C112" s="600" t="s">
        <v>384</v>
      </c>
      <c r="D112" s="601">
        <v>5</v>
      </c>
      <c r="E112" s="602" t="s">
        <v>246</v>
      </c>
      <c r="F112" s="603">
        <v>1230500</v>
      </c>
      <c r="G112" s="604">
        <f>D112*F112</f>
        <v>6152500</v>
      </c>
      <c r="H112" s="605">
        <v>3</v>
      </c>
      <c r="I112" s="606">
        <f t="shared" si="10"/>
        <v>2050833.3333333333</v>
      </c>
    </row>
    <row r="113" spans="2:9" x14ac:dyDescent="0.3">
      <c r="B113" s="411">
        <v>27</v>
      </c>
      <c r="C113" s="412" t="s">
        <v>576</v>
      </c>
      <c r="D113" s="426">
        <v>4</v>
      </c>
      <c r="E113" s="427" t="s">
        <v>246</v>
      </c>
      <c r="F113" s="420">
        <v>41730</v>
      </c>
      <c r="G113" s="416">
        <f t="shared" si="11"/>
        <v>0</v>
      </c>
      <c r="H113" s="424">
        <v>24</v>
      </c>
      <c r="I113" s="418">
        <f t="shared" si="10"/>
        <v>0</v>
      </c>
    </row>
    <row r="114" spans="2:9" x14ac:dyDescent="0.3">
      <c r="B114" s="411">
        <v>28</v>
      </c>
      <c r="C114" s="412" t="s">
        <v>389</v>
      </c>
      <c r="D114" s="426">
        <v>1</v>
      </c>
      <c r="E114" s="427" t="s">
        <v>246</v>
      </c>
      <c r="F114" s="420">
        <v>300135</v>
      </c>
      <c r="G114" s="416">
        <f t="shared" si="11"/>
        <v>0</v>
      </c>
      <c r="H114" s="424">
        <v>24</v>
      </c>
      <c r="I114" s="418">
        <f t="shared" si="10"/>
        <v>0</v>
      </c>
    </row>
    <row r="115" spans="2:9" x14ac:dyDescent="0.3">
      <c r="B115" s="411">
        <v>29</v>
      </c>
      <c r="C115" s="412" t="s">
        <v>391</v>
      </c>
      <c r="D115" s="426">
        <v>2</v>
      </c>
      <c r="E115" s="427" t="s">
        <v>246</v>
      </c>
      <c r="F115" s="420">
        <v>32100.000000000004</v>
      </c>
      <c r="G115" s="416">
        <f t="shared" si="11"/>
        <v>0</v>
      </c>
      <c r="H115" s="424">
        <v>24</v>
      </c>
      <c r="I115" s="418">
        <f t="shared" si="10"/>
        <v>0</v>
      </c>
    </row>
    <row r="116" spans="2:9" x14ac:dyDescent="0.3">
      <c r="B116" s="411">
        <v>30</v>
      </c>
      <c r="C116" s="412" t="s">
        <v>577</v>
      </c>
      <c r="D116" s="426">
        <v>1</v>
      </c>
      <c r="E116" s="427" t="s">
        <v>246</v>
      </c>
      <c r="F116" s="420">
        <v>139100</v>
      </c>
      <c r="G116" s="416">
        <f t="shared" si="11"/>
        <v>0</v>
      </c>
      <c r="H116" s="424">
        <v>24</v>
      </c>
      <c r="I116" s="418">
        <f t="shared" si="10"/>
        <v>0</v>
      </c>
    </row>
    <row r="117" spans="2:9" x14ac:dyDescent="0.3">
      <c r="B117" s="411">
        <v>31</v>
      </c>
      <c r="C117" s="412" t="s">
        <v>578</v>
      </c>
      <c r="D117" s="426">
        <v>4</v>
      </c>
      <c r="E117" s="427" t="s">
        <v>246</v>
      </c>
      <c r="F117" s="420">
        <v>62060</v>
      </c>
      <c r="G117" s="416">
        <f t="shared" si="11"/>
        <v>0</v>
      </c>
      <c r="H117" s="424">
        <v>24</v>
      </c>
      <c r="I117" s="418">
        <f t="shared" si="10"/>
        <v>0</v>
      </c>
    </row>
    <row r="118" spans="2:9" x14ac:dyDescent="0.3">
      <c r="B118" s="411">
        <v>32</v>
      </c>
      <c r="C118" s="412" t="s">
        <v>579</v>
      </c>
      <c r="D118" s="426">
        <v>4</v>
      </c>
      <c r="E118" s="427" t="s">
        <v>246</v>
      </c>
      <c r="F118" s="420">
        <v>83460</v>
      </c>
      <c r="G118" s="416">
        <f t="shared" si="11"/>
        <v>0</v>
      </c>
      <c r="H118" s="424">
        <v>24</v>
      </c>
      <c r="I118" s="418">
        <f t="shared" si="10"/>
        <v>0</v>
      </c>
    </row>
    <row r="119" spans="2:9" x14ac:dyDescent="0.3">
      <c r="B119" s="411">
        <v>33</v>
      </c>
      <c r="C119" s="412" t="s">
        <v>591</v>
      </c>
      <c r="D119" s="426">
        <v>4</v>
      </c>
      <c r="E119" s="427" t="s">
        <v>246</v>
      </c>
      <c r="F119" s="420">
        <v>110210</v>
      </c>
      <c r="G119" s="416">
        <f t="shared" si="11"/>
        <v>0</v>
      </c>
      <c r="H119" s="424">
        <v>24</v>
      </c>
      <c r="I119" s="418">
        <f t="shared" si="10"/>
        <v>0</v>
      </c>
    </row>
    <row r="120" spans="2:9" x14ac:dyDescent="0.3">
      <c r="B120" s="411">
        <v>34</v>
      </c>
      <c r="C120" s="412" t="s">
        <v>401</v>
      </c>
      <c r="D120" s="426">
        <v>2</v>
      </c>
      <c r="E120" s="427" t="s">
        <v>246</v>
      </c>
      <c r="F120" s="420">
        <v>154080</v>
      </c>
      <c r="G120" s="416">
        <f t="shared" si="11"/>
        <v>0</v>
      </c>
      <c r="H120" s="424">
        <v>24</v>
      </c>
      <c r="I120" s="418">
        <f t="shared" si="10"/>
        <v>0</v>
      </c>
    </row>
    <row r="121" spans="2:9" x14ac:dyDescent="0.3">
      <c r="B121" s="411">
        <v>35</v>
      </c>
      <c r="C121" s="412" t="s">
        <v>403</v>
      </c>
      <c r="D121" s="426">
        <v>4</v>
      </c>
      <c r="E121" s="427" t="s">
        <v>246</v>
      </c>
      <c r="F121" s="420">
        <v>64200.000000000007</v>
      </c>
      <c r="G121" s="416">
        <f t="shared" si="11"/>
        <v>0</v>
      </c>
      <c r="H121" s="424">
        <v>24</v>
      </c>
      <c r="I121" s="418">
        <f t="shared" si="10"/>
        <v>0</v>
      </c>
    </row>
    <row r="122" spans="2:9" x14ac:dyDescent="0.3">
      <c r="B122" s="411">
        <v>36</v>
      </c>
      <c r="C122" s="412" t="s">
        <v>405</v>
      </c>
      <c r="D122" s="426">
        <v>4</v>
      </c>
      <c r="E122" s="427" t="s">
        <v>246</v>
      </c>
      <c r="F122" s="420">
        <v>21400</v>
      </c>
      <c r="G122" s="416">
        <f>D122*F122</f>
        <v>85600</v>
      </c>
      <c r="H122" s="424">
        <v>3</v>
      </c>
      <c r="I122" s="418">
        <f t="shared" si="10"/>
        <v>28533.333333333332</v>
      </c>
    </row>
    <row r="123" spans="2:9" x14ac:dyDescent="0.3">
      <c r="B123" s="411">
        <v>37</v>
      </c>
      <c r="C123" s="412" t="s">
        <v>405</v>
      </c>
      <c r="D123" s="426">
        <v>4</v>
      </c>
      <c r="E123" s="427" t="s">
        <v>246</v>
      </c>
      <c r="F123" s="420">
        <v>10700</v>
      </c>
      <c r="G123" s="416">
        <f>D123*F123</f>
        <v>42800</v>
      </c>
      <c r="H123" s="424">
        <v>3</v>
      </c>
      <c r="I123" s="418">
        <f t="shared" si="10"/>
        <v>14266.666666666666</v>
      </c>
    </row>
    <row r="124" spans="2:9" x14ac:dyDescent="0.3">
      <c r="B124" s="411">
        <v>38</v>
      </c>
      <c r="C124" s="412" t="s">
        <v>580</v>
      </c>
      <c r="D124" s="426">
        <v>4</v>
      </c>
      <c r="E124" s="427" t="s">
        <v>246</v>
      </c>
      <c r="F124" s="420">
        <v>43870</v>
      </c>
      <c r="G124" s="416">
        <f>D124*F124*0</f>
        <v>0</v>
      </c>
      <c r="H124" s="424">
        <v>24</v>
      </c>
      <c r="I124" s="418">
        <f t="shared" si="10"/>
        <v>0</v>
      </c>
    </row>
    <row r="125" spans="2:9" x14ac:dyDescent="0.3">
      <c r="B125" s="411">
        <v>39</v>
      </c>
      <c r="C125" s="412" t="s">
        <v>581</v>
      </c>
      <c r="D125" s="426">
        <v>4</v>
      </c>
      <c r="E125" s="427" t="s">
        <v>246</v>
      </c>
      <c r="F125" s="420">
        <v>47080</v>
      </c>
      <c r="G125" s="416">
        <f>D125*F125*0</f>
        <v>0</v>
      </c>
      <c r="H125" s="424">
        <v>24</v>
      </c>
      <c r="I125" s="418">
        <f t="shared" si="10"/>
        <v>0</v>
      </c>
    </row>
    <row r="126" spans="2:9" x14ac:dyDescent="0.3">
      <c r="B126" s="411">
        <v>40</v>
      </c>
      <c r="C126" s="412" t="s">
        <v>413</v>
      </c>
      <c r="D126" s="426">
        <v>4</v>
      </c>
      <c r="E126" s="427" t="s">
        <v>246</v>
      </c>
      <c r="F126" s="420">
        <v>43549</v>
      </c>
      <c r="G126" s="416">
        <f t="shared" ref="G126" si="12">D126*F126</f>
        <v>174196</v>
      </c>
      <c r="H126" s="424">
        <v>12</v>
      </c>
      <c r="I126" s="418">
        <f t="shared" si="10"/>
        <v>14516.333333333334</v>
      </c>
    </row>
    <row r="127" spans="2:9" x14ac:dyDescent="0.3">
      <c r="B127" s="411">
        <v>41</v>
      </c>
      <c r="C127" s="412" t="s">
        <v>415</v>
      </c>
      <c r="D127" s="426">
        <v>2</v>
      </c>
      <c r="E127" s="427" t="s">
        <v>246</v>
      </c>
      <c r="F127" s="420">
        <v>107000</v>
      </c>
      <c r="G127" s="416">
        <f>D127*F127*0</f>
        <v>0</v>
      </c>
      <c r="H127" s="424">
        <v>24</v>
      </c>
      <c r="I127" s="418">
        <f t="shared" si="10"/>
        <v>0</v>
      </c>
    </row>
    <row r="128" spans="2:9" x14ac:dyDescent="0.3">
      <c r="B128" s="411">
        <v>42</v>
      </c>
      <c r="C128" s="412" t="s">
        <v>582</v>
      </c>
      <c r="D128" s="426">
        <v>4</v>
      </c>
      <c r="E128" s="427" t="s">
        <v>246</v>
      </c>
      <c r="F128" s="420">
        <v>342400</v>
      </c>
      <c r="G128" s="416">
        <f>D128*F128*0</f>
        <v>0</v>
      </c>
      <c r="H128" s="424">
        <v>24</v>
      </c>
      <c r="I128" s="418">
        <f t="shared" si="10"/>
        <v>0</v>
      </c>
    </row>
    <row r="129" spans="2:13" x14ac:dyDescent="0.3">
      <c r="B129" s="411">
        <v>43</v>
      </c>
      <c r="C129" s="412" t="s">
        <v>583</v>
      </c>
      <c r="D129" s="426">
        <v>4</v>
      </c>
      <c r="E129" s="427" t="s">
        <v>246</v>
      </c>
      <c r="F129" s="420">
        <v>58850</v>
      </c>
      <c r="G129" s="416">
        <f t="shared" ref="G129:G132" si="13">D129*F129*0</f>
        <v>0</v>
      </c>
      <c r="H129" s="424">
        <v>24</v>
      </c>
      <c r="I129" s="418">
        <f t="shared" si="10"/>
        <v>0</v>
      </c>
    </row>
    <row r="130" spans="2:13" x14ac:dyDescent="0.3">
      <c r="B130" s="411">
        <v>44</v>
      </c>
      <c r="C130" s="412" t="s">
        <v>584</v>
      </c>
      <c r="D130" s="426">
        <v>4</v>
      </c>
      <c r="E130" s="427" t="s">
        <v>246</v>
      </c>
      <c r="F130" s="420">
        <v>201160</v>
      </c>
      <c r="G130" s="416">
        <f t="shared" si="13"/>
        <v>0</v>
      </c>
      <c r="H130" s="424">
        <v>24</v>
      </c>
      <c r="I130" s="418">
        <f t="shared" si="10"/>
        <v>0</v>
      </c>
    </row>
    <row r="131" spans="2:13" x14ac:dyDescent="0.3">
      <c r="B131" s="411">
        <v>45</v>
      </c>
      <c r="C131" s="412" t="s">
        <v>585</v>
      </c>
      <c r="D131" s="426">
        <v>2</v>
      </c>
      <c r="E131" s="427" t="s">
        <v>246</v>
      </c>
      <c r="F131" s="420">
        <v>53500</v>
      </c>
      <c r="G131" s="416">
        <f t="shared" si="13"/>
        <v>0</v>
      </c>
      <c r="H131" s="424">
        <v>24</v>
      </c>
      <c r="I131" s="418">
        <f t="shared" si="10"/>
        <v>0</v>
      </c>
    </row>
    <row r="132" spans="2:13" x14ac:dyDescent="0.3">
      <c r="B132" s="411">
        <v>46</v>
      </c>
      <c r="C132" s="412" t="s">
        <v>425</v>
      </c>
      <c r="D132" s="426">
        <v>4</v>
      </c>
      <c r="E132" s="427" t="s">
        <v>246</v>
      </c>
      <c r="F132" s="420">
        <v>62595</v>
      </c>
      <c r="G132" s="416">
        <f t="shared" si="13"/>
        <v>0</v>
      </c>
      <c r="H132" s="424">
        <v>24</v>
      </c>
      <c r="I132" s="418">
        <f t="shared" si="10"/>
        <v>0</v>
      </c>
    </row>
    <row r="133" spans="2:13" x14ac:dyDescent="0.3">
      <c r="B133" s="411">
        <v>47</v>
      </c>
      <c r="C133" s="412" t="s">
        <v>427</v>
      </c>
      <c r="D133" s="426">
        <v>1</v>
      </c>
      <c r="E133" s="427" t="s">
        <v>246</v>
      </c>
      <c r="F133" s="420">
        <v>786450</v>
      </c>
      <c r="G133" s="416">
        <f t="shared" ref="G133:G142" si="14">D133*F133</f>
        <v>786450</v>
      </c>
      <c r="H133" s="424">
        <v>12</v>
      </c>
      <c r="I133" s="418">
        <f t="shared" si="10"/>
        <v>65537.5</v>
      </c>
    </row>
    <row r="134" spans="2:13" x14ac:dyDescent="0.3">
      <c r="B134" s="411">
        <v>48</v>
      </c>
      <c r="C134" s="412" t="s">
        <v>586</v>
      </c>
      <c r="D134" s="426">
        <v>2</v>
      </c>
      <c r="E134" s="427" t="s">
        <v>246</v>
      </c>
      <c r="F134" s="420">
        <v>53500</v>
      </c>
      <c r="G134" s="416">
        <f t="shared" si="14"/>
        <v>107000</v>
      </c>
      <c r="H134" s="424">
        <v>12</v>
      </c>
      <c r="I134" s="418">
        <f t="shared" si="10"/>
        <v>8916.6666666666661</v>
      </c>
    </row>
    <row r="135" spans="2:13" x14ac:dyDescent="0.3">
      <c r="B135" s="411">
        <v>49</v>
      </c>
      <c r="C135" s="412" t="s">
        <v>587</v>
      </c>
      <c r="D135" s="426">
        <v>1</v>
      </c>
      <c r="E135" s="427" t="s">
        <v>246</v>
      </c>
      <c r="F135" s="420">
        <v>0</v>
      </c>
      <c r="G135" s="416">
        <f t="shared" si="14"/>
        <v>0</v>
      </c>
      <c r="H135" s="424">
        <v>24</v>
      </c>
      <c r="I135" s="418">
        <f t="shared" si="10"/>
        <v>0</v>
      </c>
    </row>
    <row r="136" spans="2:13" x14ac:dyDescent="0.3">
      <c r="B136" s="411">
        <v>50</v>
      </c>
      <c r="C136" s="412" t="s">
        <v>588</v>
      </c>
      <c r="D136" s="426">
        <v>5</v>
      </c>
      <c r="E136" s="427" t="s">
        <v>246</v>
      </c>
      <c r="F136" s="420">
        <v>53500</v>
      </c>
      <c r="G136" s="416">
        <f>D136*F136*0</f>
        <v>0</v>
      </c>
      <c r="H136" s="424">
        <v>12</v>
      </c>
      <c r="I136" s="418">
        <f t="shared" si="10"/>
        <v>0</v>
      </c>
    </row>
    <row r="137" spans="2:13" x14ac:dyDescent="0.3">
      <c r="B137" s="411">
        <v>51</v>
      </c>
      <c r="C137" s="412" t="s">
        <v>438</v>
      </c>
      <c r="D137" s="426">
        <v>1</v>
      </c>
      <c r="E137" s="427" t="s">
        <v>246</v>
      </c>
      <c r="F137" s="420">
        <v>3432560</v>
      </c>
      <c r="G137" s="416">
        <f t="shared" si="14"/>
        <v>3432560</v>
      </c>
      <c r="H137" s="424">
        <v>12</v>
      </c>
      <c r="I137" s="418">
        <f t="shared" si="10"/>
        <v>286046.66666666669</v>
      </c>
    </row>
    <row r="138" spans="2:13" x14ac:dyDescent="0.3">
      <c r="B138" s="411">
        <v>52</v>
      </c>
      <c r="C138" s="412" t="s">
        <v>441</v>
      </c>
      <c r="D138" s="426">
        <v>4</v>
      </c>
      <c r="E138" s="427" t="s">
        <v>246</v>
      </c>
      <c r="F138" s="420">
        <v>323025.51</v>
      </c>
      <c r="G138" s="416">
        <f t="shared" si="14"/>
        <v>1292102.04</v>
      </c>
      <c r="H138" s="424">
        <v>6</v>
      </c>
      <c r="I138" s="418">
        <f t="shared" si="10"/>
        <v>215350.34</v>
      </c>
    </row>
    <row r="139" spans="2:13" x14ac:dyDescent="0.3">
      <c r="B139" s="411">
        <v>53</v>
      </c>
      <c r="C139" s="412" t="s">
        <v>589</v>
      </c>
      <c r="D139" s="426">
        <v>2</v>
      </c>
      <c r="E139" s="427" t="s">
        <v>246</v>
      </c>
      <c r="F139" s="420">
        <v>49220</v>
      </c>
      <c r="G139" s="416">
        <f t="shared" si="14"/>
        <v>98440</v>
      </c>
      <c r="H139" s="424">
        <v>12</v>
      </c>
      <c r="I139" s="418">
        <f t="shared" si="10"/>
        <v>8203.3333333333339</v>
      </c>
    </row>
    <row r="140" spans="2:13" x14ac:dyDescent="0.3">
      <c r="B140" s="411">
        <v>54</v>
      </c>
      <c r="C140" s="412" t="s">
        <v>590</v>
      </c>
      <c r="D140" s="426">
        <v>1</v>
      </c>
      <c r="E140" s="427" t="s">
        <v>246</v>
      </c>
      <c r="F140" s="420">
        <v>323675</v>
      </c>
      <c r="G140" s="416">
        <f t="shared" si="14"/>
        <v>323675</v>
      </c>
      <c r="H140" s="424">
        <v>12</v>
      </c>
      <c r="I140" s="418">
        <f t="shared" si="10"/>
        <v>26972.916666666668</v>
      </c>
    </row>
    <row r="141" spans="2:13" x14ac:dyDescent="0.3">
      <c r="B141" s="411">
        <v>55</v>
      </c>
      <c r="C141" s="412" t="s">
        <v>448</v>
      </c>
      <c r="D141" s="426">
        <v>2</v>
      </c>
      <c r="E141" s="427" t="s">
        <v>295</v>
      </c>
      <c r="F141" s="420">
        <v>428000</v>
      </c>
      <c r="G141" s="416">
        <f t="shared" si="14"/>
        <v>856000</v>
      </c>
      <c r="H141" s="424">
        <v>6</v>
      </c>
      <c r="I141" s="418">
        <f t="shared" si="10"/>
        <v>142666.66666666666</v>
      </c>
    </row>
    <row r="142" spans="2:13" s="607" customFormat="1" x14ac:dyDescent="0.3">
      <c r="B142" s="599">
        <v>56</v>
      </c>
      <c r="C142" s="600" t="s">
        <v>449</v>
      </c>
      <c r="D142" s="601">
        <v>20</v>
      </c>
      <c r="E142" s="602" t="s">
        <v>450</v>
      </c>
      <c r="F142" s="603">
        <v>214000</v>
      </c>
      <c r="G142" s="604">
        <f t="shared" si="14"/>
        <v>4280000</v>
      </c>
      <c r="H142" s="605">
        <v>12</v>
      </c>
      <c r="I142" s="606">
        <f t="shared" si="10"/>
        <v>356666.66666666669</v>
      </c>
    </row>
    <row r="143" spans="2:13" x14ac:dyDescent="0.3">
      <c r="B143" s="579" t="s">
        <v>553</v>
      </c>
      <c r="C143" s="580"/>
      <c r="D143" s="580"/>
      <c r="E143" s="580"/>
      <c r="F143" s="580"/>
      <c r="G143" s="580"/>
      <c r="H143" s="580"/>
      <c r="I143" s="428">
        <f>SUM(I87:I142)</f>
        <v>10981208.839999998</v>
      </c>
      <c r="J143" s="434">
        <f>I143/107%</f>
        <v>10262811.999999998</v>
      </c>
    </row>
    <row r="144" spans="2:13" x14ac:dyDescent="0.3">
      <c r="J144" s="434">
        <f>I143-J143</f>
        <v>718396.83999999985</v>
      </c>
      <c r="M144" s="98">
        <v>1134000</v>
      </c>
    </row>
    <row r="145" spans="2:13" x14ac:dyDescent="0.3">
      <c r="B145" s="581" t="s">
        <v>592</v>
      </c>
      <c r="C145" s="582"/>
      <c r="D145" s="582"/>
      <c r="E145" s="582"/>
      <c r="F145" s="582"/>
      <c r="G145" s="582"/>
      <c r="H145" s="582"/>
      <c r="I145" s="583"/>
      <c r="M145" s="98">
        <v>700700</v>
      </c>
    </row>
    <row r="146" spans="2:13" ht="15" thickBot="1" x14ac:dyDescent="0.35">
      <c r="B146" s="409" t="s">
        <v>45</v>
      </c>
      <c r="C146" s="409" t="s">
        <v>546</v>
      </c>
      <c r="D146" s="584" t="s">
        <v>547</v>
      </c>
      <c r="E146" s="584"/>
      <c r="F146" s="410" t="s">
        <v>548</v>
      </c>
      <c r="G146" s="410" t="s">
        <v>549</v>
      </c>
      <c r="H146" s="409" t="s">
        <v>550</v>
      </c>
      <c r="I146" s="410" t="s">
        <v>551</v>
      </c>
      <c r="M146" s="98">
        <f>M145*2</f>
        <v>1401400</v>
      </c>
    </row>
    <row r="147" spans="2:13" ht="15" thickTop="1" x14ac:dyDescent="0.3">
      <c r="B147" s="411">
        <v>1</v>
      </c>
      <c r="C147" s="412" t="s">
        <v>453</v>
      </c>
      <c r="D147" s="413">
        <v>1</v>
      </c>
      <c r="E147" s="414" t="s">
        <v>243</v>
      </c>
      <c r="F147" s="415">
        <v>3694068</v>
      </c>
      <c r="G147" s="416">
        <f>D147*F147</f>
        <v>3694068</v>
      </c>
      <c r="H147" s="417">
        <v>12</v>
      </c>
      <c r="I147" s="418">
        <f>G147/H147</f>
        <v>307839</v>
      </c>
    </row>
    <row r="148" spans="2:13" x14ac:dyDescent="0.3">
      <c r="B148" s="411">
        <v>2</v>
      </c>
      <c r="C148" s="412" t="s">
        <v>455</v>
      </c>
      <c r="D148" s="419">
        <v>0</v>
      </c>
      <c r="E148" s="414" t="s">
        <v>246</v>
      </c>
      <c r="F148" s="415">
        <v>654840</v>
      </c>
      <c r="G148" s="416">
        <f>D148*F148</f>
        <v>0</v>
      </c>
      <c r="H148" s="417">
        <v>12</v>
      </c>
      <c r="I148" s="418">
        <f t="shared" ref="I148:I160" si="15">G148/H148</f>
        <v>0</v>
      </c>
    </row>
    <row r="149" spans="2:13" x14ac:dyDescent="0.3">
      <c r="B149" s="411">
        <v>3</v>
      </c>
      <c r="C149" s="412" t="s">
        <v>456</v>
      </c>
      <c r="D149" s="419">
        <v>2</v>
      </c>
      <c r="E149" s="414" t="s">
        <v>246</v>
      </c>
      <c r="F149" s="420">
        <v>399837.60000000003</v>
      </c>
      <c r="G149" s="416">
        <f t="shared" ref="G149:G160" si="16">D149*F149</f>
        <v>799675.20000000007</v>
      </c>
      <c r="H149" s="417">
        <v>12</v>
      </c>
      <c r="I149" s="418">
        <f t="shared" si="15"/>
        <v>66639.600000000006</v>
      </c>
    </row>
    <row r="150" spans="2:13" x14ac:dyDescent="0.3">
      <c r="B150" s="411">
        <v>4</v>
      </c>
      <c r="C150" s="412" t="s">
        <v>458</v>
      </c>
      <c r="D150" s="421">
        <v>1</v>
      </c>
      <c r="E150" s="422" t="s">
        <v>246</v>
      </c>
      <c r="F150" s="423">
        <v>404995</v>
      </c>
      <c r="G150" s="416">
        <f t="shared" si="16"/>
        <v>404995</v>
      </c>
      <c r="H150" s="424">
        <v>12</v>
      </c>
      <c r="I150" s="418">
        <f t="shared" si="15"/>
        <v>33749.583333333336</v>
      </c>
    </row>
    <row r="151" spans="2:13" x14ac:dyDescent="0.3">
      <c r="B151" s="411">
        <v>5</v>
      </c>
      <c r="C151" s="412" t="s">
        <v>460</v>
      </c>
      <c r="D151" s="426">
        <v>2</v>
      </c>
      <c r="E151" s="427" t="s">
        <v>246</v>
      </c>
      <c r="F151" s="420">
        <v>115206.90000000001</v>
      </c>
      <c r="G151" s="416">
        <f t="shared" si="16"/>
        <v>230413.80000000002</v>
      </c>
      <c r="H151" s="424">
        <v>12</v>
      </c>
      <c r="I151" s="418">
        <f t="shared" si="15"/>
        <v>19201.150000000001</v>
      </c>
    </row>
    <row r="152" spans="2:13" x14ac:dyDescent="0.3">
      <c r="B152" s="411">
        <v>6</v>
      </c>
      <c r="C152" s="412" t="s">
        <v>461</v>
      </c>
      <c r="D152" s="426">
        <v>1</v>
      </c>
      <c r="E152" s="427" t="s">
        <v>246</v>
      </c>
      <c r="F152" s="420">
        <v>1305282.3</v>
      </c>
      <c r="G152" s="416">
        <f t="shared" si="16"/>
        <v>1305282.3</v>
      </c>
      <c r="H152" s="424">
        <v>12</v>
      </c>
      <c r="I152" s="418">
        <f t="shared" si="15"/>
        <v>108773.52500000001</v>
      </c>
    </row>
    <row r="153" spans="2:13" x14ac:dyDescent="0.3">
      <c r="B153" s="411">
        <v>7</v>
      </c>
      <c r="C153" s="412" t="s">
        <v>462</v>
      </c>
      <c r="D153" s="426">
        <v>2</v>
      </c>
      <c r="E153" s="427" t="s">
        <v>246</v>
      </c>
      <c r="F153" s="420">
        <v>818325.3</v>
      </c>
      <c r="G153" s="416">
        <f t="shared" si="16"/>
        <v>1636650.6</v>
      </c>
      <c r="H153" s="424">
        <v>12</v>
      </c>
      <c r="I153" s="418">
        <f t="shared" si="15"/>
        <v>136387.55000000002</v>
      </c>
    </row>
    <row r="154" spans="2:13" x14ac:dyDescent="0.3">
      <c r="B154" s="411">
        <v>8</v>
      </c>
      <c r="C154" s="412" t="s">
        <v>302</v>
      </c>
      <c r="D154" s="426">
        <v>1</v>
      </c>
      <c r="E154" s="427" t="s">
        <v>246</v>
      </c>
      <c r="F154" s="420">
        <v>224475.30000000002</v>
      </c>
      <c r="G154" s="416">
        <f t="shared" si="16"/>
        <v>224475.30000000002</v>
      </c>
      <c r="H154" s="424">
        <v>12</v>
      </c>
      <c r="I154" s="418">
        <f t="shared" si="15"/>
        <v>18706.275000000001</v>
      </c>
    </row>
    <row r="155" spans="2:13" x14ac:dyDescent="0.3">
      <c r="B155" s="411">
        <v>9</v>
      </c>
      <c r="C155" s="412" t="s">
        <v>409</v>
      </c>
      <c r="D155" s="426">
        <v>2</v>
      </c>
      <c r="E155" s="427" t="s">
        <v>295</v>
      </c>
      <c r="F155" s="420">
        <v>43870</v>
      </c>
      <c r="G155" s="416">
        <f t="shared" si="16"/>
        <v>87740</v>
      </c>
      <c r="H155" s="424">
        <v>12</v>
      </c>
      <c r="I155" s="418">
        <f t="shared" si="15"/>
        <v>7311.666666666667</v>
      </c>
    </row>
    <row r="156" spans="2:13" x14ac:dyDescent="0.3">
      <c r="B156" s="411">
        <v>10</v>
      </c>
      <c r="C156" s="412" t="s">
        <v>411</v>
      </c>
      <c r="D156" s="426">
        <v>2</v>
      </c>
      <c r="E156" s="427" t="s">
        <v>295</v>
      </c>
      <c r="F156" s="420">
        <v>47080</v>
      </c>
      <c r="G156" s="416">
        <f t="shared" si="16"/>
        <v>94160</v>
      </c>
      <c r="H156" s="424">
        <v>12</v>
      </c>
      <c r="I156" s="418">
        <f t="shared" si="15"/>
        <v>7846.666666666667</v>
      </c>
    </row>
    <row r="157" spans="2:13" x14ac:dyDescent="0.3">
      <c r="B157" s="411">
        <v>11</v>
      </c>
      <c r="C157" s="412" t="s">
        <v>464</v>
      </c>
      <c r="D157" s="426">
        <v>2</v>
      </c>
      <c r="E157" s="427" t="s">
        <v>246</v>
      </c>
      <c r="F157" s="420">
        <v>137571.4301</v>
      </c>
      <c r="G157" s="416">
        <f t="shared" si="16"/>
        <v>275142.8602</v>
      </c>
      <c r="H157" s="424">
        <v>1</v>
      </c>
      <c r="I157" s="418">
        <f t="shared" si="15"/>
        <v>275142.8602</v>
      </c>
    </row>
    <row r="158" spans="2:13" x14ac:dyDescent="0.3">
      <c r="B158" s="411">
        <v>12</v>
      </c>
      <c r="C158" s="412" t="s">
        <v>317</v>
      </c>
      <c r="D158" s="426">
        <v>3</v>
      </c>
      <c r="E158" s="427" t="s">
        <v>246</v>
      </c>
      <c r="F158" s="420">
        <v>323025.51</v>
      </c>
      <c r="G158" s="416">
        <f t="shared" si="16"/>
        <v>969076.53</v>
      </c>
      <c r="H158" s="424">
        <v>6</v>
      </c>
      <c r="I158" s="418">
        <f t="shared" si="15"/>
        <v>161512.755</v>
      </c>
    </row>
    <row r="159" spans="2:13" x14ac:dyDescent="0.3">
      <c r="B159" s="411">
        <v>13</v>
      </c>
      <c r="C159" s="412" t="s">
        <v>465</v>
      </c>
      <c r="D159" s="426">
        <v>2</v>
      </c>
      <c r="E159" s="427" t="s">
        <v>246</v>
      </c>
      <c r="F159" s="420">
        <v>44940</v>
      </c>
      <c r="G159" s="416">
        <f t="shared" si="16"/>
        <v>89880</v>
      </c>
      <c r="H159" s="424">
        <v>1</v>
      </c>
      <c r="I159" s="418">
        <f t="shared" si="15"/>
        <v>89880</v>
      </c>
    </row>
    <row r="160" spans="2:13" x14ac:dyDescent="0.3">
      <c r="B160" s="411">
        <v>14</v>
      </c>
      <c r="C160" s="412" t="s">
        <v>466</v>
      </c>
      <c r="D160" s="426">
        <v>3</v>
      </c>
      <c r="E160" s="427" t="s">
        <v>295</v>
      </c>
      <c r="F160" s="420">
        <v>654840</v>
      </c>
      <c r="G160" s="416">
        <f t="shared" si="16"/>
        <v>1964520</v>
      </c>
      <c r="H160" s="424">
        <v>2</v>
      </c>
      <c r="I160" s="418">
        <f t="shared" si="15"/>
        <v>982260</v>
      </c>
    </row>
    <row r="161" spans="2:11" x14ac:dyDescent="0.3">
      <c r="B161" s="579" t="s">
        <v>553</v>
      </c>
      <c r="C161" s="580"/>
      <c r="D161" s="580"/>
      <c r="E161" s="580"/>
      <c r="F161" s="580"/>
      <c r="G161" s="580"/>
      <c r="H161" s="580"/>
      <c r="I161" s="428">
        <f>SUM(I147:I160)</f>
        <v>2215250.6318666665</v>
      </c>
      <c r="J161" s="434">
        <f>I161/107%</f>
        <v>2070327.6933333331</v>
      </c>
      <c r="K161" s="434">
        <f>I161-J161</f>
        <v>144922.93853333336</v>
      </c>
    </row>
    <row r="162" spans="2:11" x14ac:dyDescent="0.3">
      <c r="J162" s="434">
        <f>J161+J143+J83+J22</f>
        <v>22071055.643489093</v>
      </c>
      <c r="K162" s="434">
        <f>K161+J144+J84+J23</f>
        <v>1544973.8950442376</v>
      </c>
    </row>
  </sheetData>
  <mergeCells count="18">
    <mergeCell ref="B8:I8"/>
    <mergeCell ref="B9:I9"/>
    <mergeCell ref="B10:C10"/>
    <mergeCell ref="D10:I10"/>
    <mergeCell ref="B11:C11"/>
    <mergeCell ref="D11:I11"/>
    <mergeCell ref="B13:I13"/>
    <mergeCell ref="D14:E14"/>
    <mergeCell ref="B21:H21"/>
    <mergeCell ref="B23:I23"/>
    <mergeCell ref="D24:E24"/>
    <mergeCell ref="B161:H161"/>
    <mergeCell ref="B83:H83"/>
    <mergeCell ref="B85:I85"/>
    <mergeCell ref="D86:E86"/>
    <mergeCell ref="B143:H143"/>
    <mergeCell ref="B145:I145"/>
    <mergeCell ref="D146:E146"/>
  </mergeCells>
  <pageMargins left="0.7" right="0.7" top="0.75" bottom="0.75" header="0.3" footer="0.3"/>
  <pageSetup scale="72" orientation="portrait" r:id="rId1"/>
  <colBreaks count="1" manualBreakCount="1">
    <brk id="9" max="1048575" man="1"/>
  </colBreaks>
  <ignoredErrors>
    <ignoredError sqref="G126:G131 G90:G108 G133:G139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3AA8-DE5D-464B-A76E-5A33F35656CD}">
  <dimension ref="B4:G160"/>
  <sheetViews>
    <sheetView showGridLines="0" view="pageBreakPreview" topLeftCell="A73" zoomScale="74" zoomScaleNormal="74" zoomScaleSheetLayoutView="74" workbookViewId="0">
      <selection activeCell="E8" sqref="E8:H8"/>
    </sheetView>
  </sheetViews>
  <sheetFormatPr defaultRowHeight="14.4" x14ac:dyDescent="0.3"/>
  <cols>
    <col min="1" max="1" width="3.5546875" style="75" customWidth="1"/>
    <col min="2" max="2" width="4.77734375" style="75" customWidth="1"/>
    <col min="3" max="3" width="46.77734375" style="75" customWidth="1"/>
    <col min="4" max="4" width="10.5546875" style="446" customWidth="1"/>
    <col min="5" max="5" width="10.5546875" style="75" customWidth="1"/>
    <col min="6" max="6" width="18.44140625" style="75" customWidth="1"/>
    <col min="7" max="7" width="13.77734375" style="75" customWidth="1"/>
    <col min="8" max="230" width="8.77734375" style="75"/>
    <col min="231" max="231" width="3.5546875" style="75" customWidth="1"/>
    <col min="232" max="232" width="4.77734375" style="75" customWidth="1"/>
    <col min="233" max="233" width="37.21875" style="75" bestFit="1" customWidth="1"/>
    <col min="234" max="235" width="5.21875" style="75" customWidth="1"/>
    <col min="236" max="236" width="12.77734375" style="75" bestFit="1" customWidth="1"/>
    <col min="237" max="237" width="13.77734375" style="75" bestFit="1" customWidth="1"/>
    <col min="238" max="238" width="5.5546875" style="75" bestFit="1" customWidth="1"/>
    <col min="239" max="239" width="14.44140625" style="75" bestFit="1" customWidth="1"/>
    <col min="240" max="240" width="8.77734375" style="75"/>
    <col min="241" max="241" width="36.44140625" style="75" customWidth="1"/>
    <col min="242" max="486" width="8.77734375" style="75"/>
    <col min="487" max="487" width="3.5546875" style="75" customWidth="1"/>
    <col min="488" max="488" width="4.77734375" style="75" customWidth="1"/>
    <col min="489" max="489" width="37.21875" style="75" bestFit="1" customWidth="1"/>
    <col min="490" max="491" width="5.21875" style="75" customWidth="1"/>
    <col min="492" max="492" width="12.77734375" style="75" bestFit="1" customWidth="1"/>
    <col min="493" max="493" width="13.77734375" style="75" bestFit="1" customWidth="1"/>
    <col min="494" max="494" width="5.5546875" style="75" bestFit="1" customWidth="1"/>
    <col min="495" max="495" width="14.44140625" style="75" bestFit="1" customWidth="1"/>
    <col min="496" max="496" width="8.77734375" style="75"/>
    <col min="497" max="497" width="36.44140625" style="75" customWidth="1"/>
    <col min="498" max="742" width="8.77734375" style="75"/>
    <col min="743" max="743" width="3.5546875" style="75" customWidth="1"/>
    <col min="744" max="744" width="4.77734375" style="75" customWidth="1"/>
    <col min="745" max="745" width="37.21875" style="75" bestFit="1" customWidth="1"/>
    <col min="746" max="747" width="5.21875" style="75" customWidth="1"/>
    <col min="748" max="748" width="12.77734375" style="75" bestFit="1" customWidth="1"/>
    <col min="749" max="749" width="13.77734375" style="75" bestFit="1" customWidth="1"/>
    <col min="750" max="750" width="5.5546875" style="75" bestFit="1" customWidth="1"/>
    <col min="751" max="751" width="14.44140625" style="75" bestFit="1" customWidth="1"/>
    <col min="752" max="752" width="8.77734375" style="75"/>
    <col min="753" max="753" width="36.44140625" style="75" customWidth="1"/>
    <col min="754" max="998" width="8.77734375" style="75"/>
    <col min="999" max="999" width="3.5546875" style="75" customWidth="1"/>
    <col min="1000" max="1000" width="4.77734375" style="75" customWidth="1"/>
    <col min="1001" max="1001" width="37.21875" style="75" bestFit="1" customWidth="1"/>
    <col min="1002" max="1003" width="5.21875" style="75" customWidth="1"/>
    <col min="1004" max="1004" width="12.77734375" style="75" bestFit="1" customWidth="1"/>
    <col min="1005" max="1005" width="13.77734375" style="75" bestFit="1" customWidth="1"/>
    <col min="1006" max="1006" width="5.5546875" style="75" bestFit="1" customWidth="1"/>
    <col min="1007" max="1007" width="14.44140625" style="75" bestFit="1" customWidth="1"/>
    <col min="1008" max="1008" width="8.77734375" style="75"/>
    <col min="1009" max="1009" width="36.44140625" style="75" customWidth="1"/>
    <col min="1010" max="1254" width="8.77734375" style="75"/>
    <col min="1255" max="1255" width="3.5546875" style="75" customWidth="1"/>
    <col min="1256" max="1256" width="4.77734375" style="75" customWidth="1"/>
    <col min="1257" max="1257" width="37.21875" style="75" bestFit="1" customWidth="1"/>
    <col min="1258" max="1259" width="5.21875" style="75" customWidth="1"/>
    <col min="1260" max="1260" width="12.77734375" style="75" bestFit="1" customWidth="1"/>
    <col min="1261" max="1261" width="13.77734375" style="75" bestFit="1" customWidth="1"/>
    <col min="1262" max="1262" width="5.5546875" style="75" bestFit="1" customWidth="1"/>
    <col min="1263" max="1263" width="14.44140625" style="75" bestFit="1" customWidth="1"/>
    <col min="1264" max="1264" width="8.77734375" style="75"/>
    <col min="1265" max="1265" width="36.44140625" style="75" customWidth="1"/>
    <col min="1266" max="1510" width="8.77734375" style="75"/>
    <col min="1511" max="1511" width="3.5546875" style="75" customWidth="1"/>
    <col min="1512" max="1512" width="4.77734375" style="75" customWidth="1"/>
    <col min="1513" max="1513" width="37.21875" style="75" bestFit="1" customWidth="1"/>
    <col min="1514" max="1515" width="5.21875" style="75" customWidth="1"/>
    <col min="1516" max="1516" width="12.77734375" style="75" bestFit="1" customWidth="1"/>
    <col min="1517" max="1517" width="13.77734375" style="75" bestFit="1" customWidth="1"/>
    <col min="1518" max="1518" width="5.5546875" style="75" bestFit="1" customWidth="1"/>
    <col min="1519" max="1519" width="14.44140625" style="75" bestFit="1" customWidth="1"/>
    <col min="1520" max="1520" width="8.77734375" style="75"/>
    <col min="1521" max="1521" width="36.44140625" style="75" customWidth="1"/>
    <col min="1522" max="1766" width="8.77734375" style="75"/>
    <col min="1767" max="1767" width="3.5546875" style="75" customWidth="1"/>
    <col min="1768" max="1768" width="4.77734375" style="75" customWidth="1"/>
    <col min="1769" max="1769" width="37.21875" style="75" bestFit="1" customWidth="1"/>
    <col min="1770" max="1771" width="5.21875" style="75" customWidth="1"/>
    <col min="1772" max="1772" width="12.77734375" style="75" bestFit="1" customWidth="1"/>
    <col min="1773" max="1773" width="13.77734375" style="75" bestFit="1" customWidth="1"/>
    <col min="1774" max="1774" width="5.5546875" style="75" bestFit="1" customWidth="1"/>
    <col min="1775" max="1775" width="14.44140625" style="75" bestFit="1" customWidth="1"/>
    <col min="1776" max="1776" width="8.77734375" style="75"/>
    <col min="1777" max="1777" width="36.44140625" style="75" customWidth="1"/>
    <col min="1778" max="2022" width="8.77734375" style="75"/>
    <col min="2023" max="2023" width="3.5546875" style="75" customWidth="1"/>
    <col min="2024" max="2024" width="4.77734375" style="75" customWidth="1"/>
    <col min="2025" max="2025" width="37.21875" style="75" bestFit="1" customWidth="1"/>
    <col min="2026" max="2027" width="5.21875" style="75" customWidth="1"/>
    <col min="2028" max="2028" width="12.77734375" style="75" bestFit="1" customWidth="1"/>
    <col min="2029" max="2029" width="13.77734375" style="75" bestFit="1" customWidth="1"/>
    <col min="2030" max="2030" width="5.5546875" style="75" bestFit="1" customWidth="1"/>
    <col min="2031" max="2031" width="14.44140625" style="75" bestFit="1" customWidth="1"/>
    <col min="2032" max="2032" width="8.77734375" style="75"/>
    <col min="2033" max="2033" width="36.44140625" style="75" customWidth="1"/>
    <col min="2034" max="2278" width="8.77734375" style="75"/>
    <col min="2279" max="2279" width="3.5546875" style="75" customWidth="1"/>
    <col min="2280" max="2280" width="4.77734375" style="75" customWidth="1"/>
    <col min="2281" max="2281" width="37.21875" style="75" bestFit="1" customWidth="1"/>
    <col min="2282" max="2283" width="5.21875" style="75" customWidth="1"/>
    <col min="2284" max="2284" width="12.77734375" style="75" bestFit="1" customWidth="1"/>
    <col min="2285" max="2285" width="13.77734375" style="75" bestFit="1" customWidth="1"/>
    <col min="2286" max="2286" width="5.5546875" style="75" bestFit="1" customWidth="1"/>
    <col min="2287" max="2287" width="14.44140625" style="75" bestFit="1" customWidth="1"/>
    <col min="2288" max="2288" width="8.77734375" style="75"/>
    <col min="2289" max="2289" width="36.44140625" style="75" customWidth="1"/>
    <col min="2290" max="2534" width="8.77734375" style="75"/>
    <col min="2535" max="2535" width="3.5546875" style="75" customWidth="1"/>
    <col min="2536" max="2536" width="4.77734375" style="75" customWidth="1"/>
    <col min="2537" max="2537" width="37.21875" style="75" bestFit="1" customWidth="1"/>
    <col min="2538" max="2539" width="5.21875" style="75" customWidth="1"/>
    <col min="2540" max="2540" width="12.77734375" style="75" bestFit="1" customWidth="1"/>
    <col min="2541" max="2541" width="13.77734375" style="75" bestFit="1" customWidth="1"/>
    <col min="2542" max="2542" width="5.5546875" style="75" bestFit="1" customWidth="1"/>
    <col min="2543" max="2543" width="14.44140625" style="75" bestFit="1" customWidth="1"/>
    <col min="2544" max="2544" width="8.77734375" style="75"/>
    <col min="2545" max="2545" width="36.44140625" style="75" customWidth="1"/>
    <col min="2546" max="2790" width="8.77734375" style="75"/>
    <col min="2791" max="2791" width="3.5546875" style="75" customWidth="1"/>
    <col min="2792" max="2792" width="4.77734375" style="75" customWidth="1"/>
    <col min="2793" max="2793" width="37.21875" style="75" bestFit="1" customWidth="1"/>
    <col min="2794" max="2795" width="5.21875" style="75" customWidth="1"/>
    <col min="2796" max="2796" width="12.77734375" style="75" bestFit="1" customWidth="1"/>
    <col min="2797" max="2797" width="13.77734375" style="75" bestFit="1" customWidth="1"/>
    <col min="2798" max="2798" width="5.5546875" style="75" bestFit="1" customWidth="1"/>
    <col min="2799" max="2799" width="14.44140625" style="75" bestFit="1" customWidth="1"/>
    <col min="2800" max="2800" width="8.77734375" style="75"/>
    <col min="2801" max="2801" width="36.44140625" style="75" customWidth="1"/>
    <col min="2802" max="3046" width="8.77734375" style="75"/>
    <col min="3047" max="3047" width="3.5546875" style="75" customWidth="1"/>
    <col min="3048" max="3048" width="4.77734375" style="75" customWidth="1"/>
    <col min="3049" max="3049" width="37.21875" style="75" bestFit="1" customWidth="1"/>
    <col min="3050" max="3051" width="5.21875" style="75" customWidth="1"/>
    <col min="3052" max="3052" width="12.77734375" style="75" bestFit="1" customWidth="1"/>
    <col min="3053" max="3053" width="13.77734375" style="75" bestFit="1" customWidth="1"/>
    <col min="3054" max="3054" width="5.5546875" style="75" bestFit="1" customWidth="1"/>
    <col min="3055" max="3055" width="14.44140625" style="75" bestFit="1" customWidth="1"/>
    <col min="3056" max="3056" width="8.77734375" style="75"/>
    <col min="3057" max="3057" width="36.44140625" style="75" customWidth="1"/>
    <col min="3058" max="3302" width="8.77734375" style="75"/>
    <col min="3303" max="3303" width="3.5546875" style="75" customWidth="1"/>
    <col min="3304" max="3304" width="4.77734375" style="75" customWidth="1"/>
    <col min="3305" max="3305" width="37.21875" style="75" bestFit="1" customWidth="1"/>
    <col min="3306" max="3307" width="5.21875" style="75" customWidth="1"/>
    <col min="3308" max="3308" width="12.77734375" style="75" bestFit="1" customWidth="1"/>
    <col min="3309" max="3309" width="13.77734375" style="75" bestFit="1" customWidth="1"/>
    <col min="3310" max="3310" width="5.5546875" style="75" bestFit="1" customWidth="1"/>
    <col min="3311" max="3311" width="14.44140625" style="75" bestFit="1" customWidth="1"/>
    <col min="3312" max="3312" width="8.77734375" style="75"/>
    <col min="3313" max="3313" width="36.44140625" style="75" customWidth="1"/>
    <col min="3314" max="3558" width="8.77734375" style="75"/>
    <col min="3559" max="3559" width="3.5546875" style="75" customWidth="1"/>
    <col min="3560" max="3560" width="4.77734375" style="75" customWidth="1"/>
    <col min="3561" max="3561" width="37.21875" style="75" bestFit="1" customWidth="1"/>
    <col min="3562" max="3563" width="5.21875" style="75" customWidth="1"/>
    <col min="3564" max="3564" width="12.77734375" style="75" bestFit="1" customWidth="1"/>
    <col min="3565" max="3565" width="13.77734375" style="75" bestFit="1" customWidth="1"/>
    <col min="3566" max="3566" width="5.5546875" style="75" bestFit="1" customWidth="1"/>
    <col min="3567" max="3567" width="14.44140625" style="75" bestFit="1" customWidth="1"/>
    <col min="3568" max="3568" width="8.77734375" style="75"/>
    <col min="3569" max="3569" width="36.44140625" style="75" customWidth="1"/>
    <col min="3570" max="3814" width="8.77734375" style="75"/>
    <col min="3815" max="3815" width="3.5546875" style="75" customWidth="1"/>
    <col min="3816" max="3816" width="4.77734375" style="75" customWidth="1"/>
    <col min="3817" max="3817" width="37.21875" style="75" bestFit="1" customWidth="1"/>
    <col min="3818" max="3819" width="5.21875" style="75" customWidth="1"/>
    <col min="3820" max="3820" width="12.77734375" style="75" bestFit="1" customWidth="1"/>
    <col min="3821" max="3821" width="13.77734375" style="75" bestFit="1" customWidth="1"/>
    <col min="3822" max="3822" width="5.5546875" style="75" bestFit="1" customWidth="1"/>
    <col min="3823" max="3823" width="14.44140625" style="75" bestFit="1" customWidth="1"/>
    <col min="3824" max="3824" width="8.77734375" style="75"/>
    <col min="3825" max="3825" width="36.44140625" style="75" customWidth="1"/>
    <col min="3826" max="4070" width="8.77734375" style="75"/>
    <col min="4071" max="4071" width="3.5546875" style="75" customWidth="1"/>
    <col min="4072" max="4072" width="4.77734375" style="75" customWidth="1"/>
    <col min="4073" max="4073" width="37.21875" style="75" bestFit="1" customWidth="1"/>
    <col min="4074" max="4075" width="5.21875" style="75" customWidth="1"/>
    <col min="4076" max="4076" width="12.77734375" style="75" bestFit="1" customWidth="1"/>
    <col min="4077" max="4077" width="13.77734375" style="75" bestFit="1" customWidth="1"/>
    <col min="4078" max="4078" width="5.5546875" style="75" bestFit="1" customWidth="1"/>
    <col min="4079" max="4079" width="14.44140625" style="75" bestFit="1" customWidth="1"/>
    <col min="4080" max="4080" width="8.77734375" style="75"/>
    <col min="4081" max="4081" width="36.44140625" style="75" customWidth="1"/>
    <col min="4082" max="4326" width="8.77734375" style="75"/>
    <col min="4327" max="4327" width="3.5546875" style="75" customWidth="1"/>
    <col min="4328" max="4328" width="4.77734375" style="75" customWidth="1"/>
    <col min="4329" max="4329" width="37.21875" style="75" bestFit="1" customWidth="1"/>
    <col min="4330" max="4331" width="5.21875" style="75" customWidth="1"/>
    <col min="4332" max="4332" width="12.77734375" style="75" bestFit="1" customWidth="1"/>
    <col min="4333" max="4333" width="13.77734375" style="75" bestFit="1" customWidth="1"/>
    <col min="4334" max="4334" width="5.5546875" style="75" bestFit="1" customWidth="1"/>
    <col min="4335" max="4335" width="14.44140625" style="75" bestFit="1" customWidth="1"/>
    <col min="4336" max="4336" width="8.77734375" style="75"/>
    <col min="4337" max="4337" width="36.44140625" style="75" customWidth="1"/>
    <col min="4338" max="4582" width="8.77734375" style="75"/>
    <col min="4583" max="4583" width="3.5546875" style="75" customWidth="1"/>
    <col min="4584" max="4584" width="4.77734375" style="75" customWidth="1"/>
    <col min="4585" max="4585" width="37.21875" style="75" bestFit="1" customWidth="1"/>
    <col min="4586" max="4587" width="5.21875" style="75" customWidth="1"/>
    <col min="4588" max="4588" width="12.77734375" style="75" bestFit="1" customWidth="1"/>
    <col min="4589" max="4589" width="13.77734375" style="75" bestFit="1" customWidth="1"/>
    <col min="4590" max="4590" width="5.5546875" style="75" bestFit="1" customWidth="1"/>
    <col min="4591" max="4591" width="14.44140625" style="75" bestFit="1" customWidth="1"/>
    <col min="4592" max="4592" width="8.77734375" style="75"/>
    <col min="4593" max="4593" width="36.44140625" style="75" customWidth="1"/>
    <col min="4594" max="4838" width="8.77734375" style="75"/>
    <col min="4839" max="4839" width="3.5546875" style="75" customWidth="1"/>
    <col min="4840" max="4840" width="4.77734375" style="75" customWidth="1"/>
    <col min="4841" max="4841" width="37.21875" style="75" bestFit="1" customWidth="1"/>
    <col min="4842" max="4843" width="5.21875" style="75" customWidth="1"/>
    <col min="4844" max="4844" width="12.77734375" style="75" bestFit="1" customWidth="1"/>
    <col min="4845" max="4845" width="13.77734375" style="75" bestFit="1" customWidth="1"/>
    <col min="4846" max="4846" width="5.5546875" style="75" bestFit="1" customWidth="1"/>
    <col min="4847" max="4847" width="14.44140625" style="75" bestFit="1" customWidth="1"/>
    <col min="4848" max="4848" width="8.77734375" style="75"/>
    <col min="4849" max="4849" width="36.44140625" style="75" customWidth="1"/>
    <col min="4850" max="5094" width="8.77734375" style="75"/>
    <col min="5095" max="5095" width="3.5546875" style="75" customWidth="1"/>
    <col min="5096" max="5096" width="4.77734375" style="75" customWidth="1"/>
    <col min="5097" max="5097" width="37.21875" style="75" bestFit="1" customWidth="1"/>
    <col min="5098" max="5099" width="5.21875" style="75" customWidth="1"/>
    <col min="5100" max="5100" width="12.77734375" style="75" bestFit="1" customWidth="1"/>
    <col min="5101" max="5101" width="13.77734375" style="75" bestFit="1" customWidth="1"/>
    <col min="5102" max="5102" width="5.5546875" style="75" bestFit="1" customWidth="1"/>
    <col min="5103" max="5103" width="14.44140625" style="75" bestFit="1" customWidth="1"/>
    <col min="5104" max="5104" width="8.77734375" style="75"/>
    <col min="5105" max="5105" width="36.44140625" style="75" customWidth="1"/>
    <col min="5106" max="5350" width="8.77734375" style="75"/>
    <col min="5351" max="5351" width="3.5546875" style="75" customWidth="1"/>
    <col min="5352" max="5352" width="4.77734375" style="75" customWidth="1"/>
    <col min="5353" max="5353" width="37.21875" style="75" bestFit="1" customWidth="1"/>
    <col min="5354" max="5355" width="5.21875" style="75" customWidth="1"/>
    <col min="5356" max="5356" width="12.77734375" style="75" bestFit="1" customWidth="1"/>
    <col min="5357" max="5357" width="13.77734375" style="75" bestFit="1" customWidth="1"/>
    <col min="5358" max="5358" width="5.5546875" style="75" bestFit="1" customWidth="1"/>
    <col min="5359" max="5359" width="14.44140625" style="75" bestFit="1" customWidth="1"/>
    <col min="5360" max="5360" width="8.77734375" style="75"/>
    <col min="5361" max="5361" width="36.44140625" style="75" customWidth="1"/>
    <col min="5362" max="5606" width="8.77734375" style="75"/>
    <col min="5607" max="5607" width="3.5546875" style="75" customWidth="1"/>
    <col min="5608" max="5608" width="4.77734375" style="75" customWidth="1"/>
    <col min="5609" max="5609" width="37.21875" style="75" bestFit="1" customWidth="1"/>
    <col min="5610" max="5611" width="5.21875" style="75" customWidth="1"/>
    <col min="5612" max="5612" width="12.77734375" style="75" bestFit="1" customWidth="1"/>
    <col min="5613" max="5613" width="13.77734375" style="75" bestFit="1" customWidth="1"/>
    <col min="5614" max="5614" width="5.5546875" style="75" bestFit="1" customWidth="1"/>
    <col min="5615" max="5615" width="14.44140625" style="75" bestFit="1" customWidth="1"/>
    <col min="5616" max="5616" width="8.77734375" style="75"/>
    <col min="5617" max="5617" width="36.44140625" style="75" customWidth="1"/>
    <col min="5618" max="5862" width="8.77734375" style="75"/>
    <col min="5863" max="5863" width="3.5546875" style="75" customWidth="1"/>
    <col min="5864" max="5864" width="4.77734375" style="75" customWidth="1"/>
    <col min="5865" max="5865" width="37.21875" style="75" bestFit="1" customWidth="1"/>
    <col min="5866" max="5867" width="5.21875" style="75" customWidth="1"/>
    <col min="5868" max="5868" width="12.77734375" style="75" bestFit="1" customWidth="1"/>
    <col min="5869" max="5869" width="13.77734375" style="75" bestFit="1" customWidth="1"/>
    <col min="5870" max="5870" width="5.5546875" style="75" bestFit="1" customWidth="1"/>
    <col min="5871" max="5871" width="14.44140625" style="75" bestFit="1" customWidth="1"/>
    <col min="5872" max="5872" width="8.77734375" style="75"/>
    <col min="5873" max="5873" width="36.44140625" style="75" customWidth="1"/>
    <col min="5874" max="6118" width="8.77734375" style="75"/>
    <col min="6119" max="6119" width="3.5546875" style="75" customWidth="1"/>
    <col min="6120" max="6120" width="4.77734375" style="75" customWidth="1"/>
    <col min="6121" max="6121" width="37.21875" style="75" bestFit="1" customWidth="1"/>
    <col min="6122" max="6123" width="5.21875" style="75" customWidth="1"/>
    <col min="6124" max="6124" width="12.77734375" style="75" bestFit="1" customWidth="1"/>
    <col min="6125" max="6125" width="13.77734375" style="75" bestFit="1" customWidth="1"/>
    <col min="6126" max="6126" width="5.5546875" style="75" bestFit="1" customWidth="1"/>
    <col min="6127" max="6127" width="14.44140625" style="75" bestFit="1" customWidth="1"/>
    <col min="6128" max="6128" width="8.77734375" style="75"/>
    <col min="6129" max="6129" width="36.44140625" style="75" customWidth="1"/>
    <col min="6130" max="6374" width="8.77734375" style="75"/>
    <col min="6375" max="6375" width="3.5546875" style="75" customWidth="1"/>
    <col min="6376" max="6376" width="4.77734375" style="75" customWidth="1"/>
    <col min="6377" max="6377" width="37.21875" style="75" bestFit="1" customWidth="1"/>
    <col min="6378" max="6379" width="5.21875" style="75" customWidth="1"/>
    <col min="6380" max="6380" width="12.77734375" style="75" bestFit="1" customWidth="1"/>
    <col min="6381" max="6381" width="13.77734375" style="75" bestFit="1" customWidth="1"/>
    <col min="6382" max="6382" width="5.5546875" style="75" bestFit="1" customWidth="1"/>
    <col min="6383" max="6383" width="14.44140625" style="75" bestFit="1" customWidth="1"/>
    <col min="6384" max="6384" width="8.77734375" style="75"/>
    <col min="6385" max="6385" width="36.44140625" style="75" customWidth="1"/>
    <col min="6386" max="6630" width="8.77734375" style="75"/>
    <col min="6631" max="6631" width="3.5546875" style="75" customWidth="1"/>
    <col min="6632" max="6632" width="4.77734375" style="75" customWidth="1"/>
    <col min="6633" max="6633" width="37.21875" style="75" bestFit="1" customWidth="1"/>
    <col min="6634" max="6635" width="5.21875" style="75" customWidth="1"/>
    <col min="6636" max="6636" width="12.77734375" style="75" bestFit="1" customWidth="1"/>
    <col min="6637" max="6637" width="13.77734375" style="75" bestFit="1" customWidth="1"/>
    <col min="6638" max="6638" width="5.5546875" style="75" bestFit="1" customWidth="1"/>
    <col min="6639" max="6639" width="14.44140625" style="75" bestFit="1" customWidth="1"/>
    <col min="6640" max="6640" width="8.77734375" style="75"/>
    <col min="6641" max="6641" width="36.44140625" style="75" customWidth="1"/>
    <col min="6642" max="6886" width="8.77734375" style="75"/>
    <col min="6887" max="6887" width="3.5546875" style="75" customWidth="1"/>
    <col min="6888" max="6888" width="4.77734375" style="75" customWidth="1"/>
    <col min="6889" max="6889" width="37.21875" style="75" bestFit="1" customWidth="1"/>
    <col min="6890" max="6891" width="5.21875" style="75" customWidth="1"/>
    <col min="6892" max="6892" width="12.77734375" style="75" bestFit="1" customWidth="1"/>
    <col min="6893" max="6893" width="13.77734375" style="75" bestFit="1" customWidth="1"/>
    <col min="6894" max="6894" width="5.5546875" style="75" bestFit="1" customWidth="1"/>
    <col min="6895" max="6895" width="14.44140625" style="75" bestFit="1" customWidth="1"/>
    <col min="6896" max="6896" width="8.77734375" style="75"/>
    <col min="6897" max="6897" width="36.44140625" style="75" customWidth="1"/>
    <col min="6898" max="7142" width="8.77734375" style="75"/>
    <col min="7143" max="7143" width="3.5546875" style="75" customWidth="1"/>
    <col min="7144" max="7144" width="4.77734375" style="75" customWidth="1"/>
    <col min="7145" max="7145" width="37.21875" style="75" bestFit="1" customWidth="1"/>
    <col min="7146" max="7147" width="5.21875" style="75" customWidth="1"/>
    <col min="7148" max="7148" width="12.77734375" style="75" bestFit="1" customWidth="1"/>
    <col min="7149" max="7149" width="13.77734375" style="75" bestFit="1" customWidth="1"/>
    <col min="7150" max="7150" width="5.5546875" style="75" bestFit="1" customWidth="1"/>
    <col min="7151" max="7151" width="14.44140625" style="75" bestFit="1" customWidth="1"/>
    <col min="7152" max="7152" width="8.77734375" style="75"/>
    <col min="7153" max="7153" width="36.44140625" style="75" customWidth="1"/>
    <col min="7154" max="7398" width="8.77734375" style="75"/>
    <col min="7399" max="7399" width="3.5546875" style="75" customWidth="1"/>
    <col min="7400" max="7400" width="4.77734375" style="75" customWidth="1"/>
    <col min="7401" max="7401" width="37.21875" style="75" bestFit="1" customWidth="1"/>
    <col min="7402" max="7403" width="5.21875" style="75" customWidth="1"/>
    <col min="7404" max="7404" width="12.77734375" style="75" bestFit="1" customWidth="1"/>
    <col min="7405" max="7405" width="13.77734375" style="75" bestFit="1" customWidth="1"/>
    <col min="7406" max="7406" width="5.5546875" style="75" bestFit="1" customWidth="1"/>
    <col min="7407" max="7407" width="14.44140625" style="75" bestFit="1" customWidth="1"/>
    <col min="7408" max="7408" width="8.77734375" style="75"/>
    <col min="7409" max="7409" width="36.44140625" style="75" customWidth="1"/>
    <col min="7410" max="7654" width="8.77734375" style="75"/>
    <col min="7655" max="7655" width="3.5546875" style="75" customWidth="1"/>
    <col min="7656" max="7656" width="4.77734375" style="75" customWidth="1"/>
    <col min="7657" max="7657" width="37.21875" style="75" bestFit="1" customWidth="1"/>
    <col min="7658" max="7659" width="5.21875" style="75" customWidth="1"/>
    <col min="7660" max="7660" width="12.77734375" style="75" bestFit="1" customWidth="1"/>
    <col min="7661" max="7661" width="13.77734375" style="75" bestFit="1" customWidth="1"/>
    <col min="7662" max="7662" width="5.5546875" style="75" bestFit="1" customWidth="1"/>
    <col min="7663" max="7663" width="14.44140625" style="75" bestFit="1" customWidth="1"/>
    <col min="7664" max="7664" width="8.77734375" style="75"/>
    <col min="7665" max="7665" width="36.44140625" style="75" customWidth="1"/>
    <col min="7666" max="7910" width="8.77734375" style="75"/>
    <col min="7911" max="7911" width="3.5546875" style="75" customWidth="1"/>
    <col min="7912" max="7912" width="4.77734375" style="75" customWidth="1"/>
    <col min="7913" max="7913" width="37.21875" style="75" bestFit="1" customWidth="1"/>
    <col min="7914" max="7915" width="5.21875" style="75" customWidth="1"/>
    <col min="7916" max="7916" width="12.77734375" style="75" bestFit="1" customWidth="1"/>
    <col min="7917" max="7917" width="13.77734375" style="75" bestFit="1" customWidth="1"/>
    <col min="7918" max="7918" width="5.5546875" style="75" bestFit="1" customWidth="1"/>
    <col min="7919" max="7919" width="14.44140625" style="75" bestFit="1" customWidth="1"/>
    <col min="7920" max="7920" width="8.77734375" style="75"/>
    <col min="7921" max="7921" width="36.44140625" style="75" customWidth="1"/>
    <col min="7922" max="8166" width="8.77734375" style="75"/>
    <col min="8167" max="8167" width="3.5546875" style="75" customWidth="1"/>
    <col min="8168" max="8168" width="4.77734375" style="75" customWidth="1"/>
    <col min="8169" max="8169" width="37.21875" style="75" bestFit="1" customWidth="1"/>
    <col min="8170" max="8171" width="5.21875" style="75" customWidth="1"/>
    <col min="8172" max="8172" width="12.77734375" style="75" bestFit="1" customWidth="1"/>
    <col min="8173" max="8173" width="13.77734375" style="75" bestFit="1" customWidth="1"/>
    <col min="8174" max="8174" width="5.5546875" style="75" bestFit="1" customWidth="1"/>
    <col min="8175" max="8175" width="14.44140625" style="75" bestFit="1" customWidth="1"/>
    <col min="8176" max="8176" width="8.77734375" style="75"/>
    <col min="8177" max="8177" width="36.44140625" style="75" customWidth="1"/>
    <col min="8178" max="8422" width="8.77734375" style="75"/>
    <col min="8423" max="8423" width="3.5546875" style="75" customWidth="1"/>
    <col min="8424" max="8424" width="4.77734375" style="75" customWidth="1"/>
    <col min="8425" max="8425" width="37.21875" style="75" bestFit="1" customWidth="1"/>
    <col min="8426" max="8427" width="5.21875" style="75" customWidth="1"/>
    <col min="8428" max="8428" width="12.77734375" style="75" bestFit="1" customWidth="1"/>
    <col min="8429" max="8429" width="13.77734375" style="75" bestFit="1" customWidth="1"/>
    <col min="8430" max="8430" width="5.5546875" style="75" bestFit="1" customWidth="1"/>
    <col min="8431" max="8431" width="14.44140625" style="75" bestFit="1" customWidth="1"/>
    <col min="8432" max="8432" width="8.77734375" style="75"/>
    <col min="8433" max="8433" width="36.44140625" style="75" customWidth="1"/>
    <col min="8434" max="8678" width="8.77734375" style="75"/>
    <col min="8679" max="8679" width="3.5546875" style="75" customWidth="1"/>
    <col min="8680" max="8680" width="4.77734375" style="75" customWidth="1"/>
    <col min="8681" max="8681" width="37.21875" style="75" bestFit="1" customWidth="1"/>
    <col min="8682" max="8683" width="5.21875" style="75" customWidth="1"/>
    <col min="8684" max="8684" width="12.77734375" style="75" bestFit="1" customWidth="1"/>
    <col min="8685" max="8685" width="13.77734375" style="75" bestFit="1" customWidth="1"/>
    <col min="8686" max="8686" width="5.5546875" style="75" bestFit="1" customWidth="1"/>
    <col min="8687" max="8687" width="14.44140625" style="75" bestFit="1" customWidth="1"/>
    <col min="8688" max="8688" width="8.77734375" style="75"/>
    <col min="8689" max="8689" width="36.44140625" style="75" customWidth="1"/>
    <col min="8690" max="8934" width="8.77734375" style="75"/>
    <col min="8935" max="8935" width="3.5546875" style="75" customWidth="1"/>
    <col min="8936" max="8936" width="4.77734375" style="75" customWidth="1"/>
    <col min="8937" max="8937" width="37.21875" style="75" bestFit="1" customWidth="1"/>
    <col min="8938" max="8939" width="5.21875" style="75" customWidth="1"/>
    <col min="8940" max="8940" width="12.77734375" style="75" bestFit="1" customWidth="1"/>
    <col min="8941" max="8941" width="13.77734375" style="75" bestFit="1" customWidth="1"/>
    <col min="8942" max="8942" width="5.5546875" style="75" bestFit="1" customWidth="1"/>
    <col min="8943" max="8943" width="14.44140625" style="75" bestFit="1" customWidth="1"/>
    <col min="8944" max="8944" width="8.77734375" style="75"/>
    <col min="8945" max="8945" width="36.44140625" style="75" customWidth="1"/>
    <col min="8946" max="9190" width="8.77734375" style="75"/>
    <col min="9191" max="9191" width="3.5546875" style="75" customWidth="1"/>
    <col min="9192" max="9192" width="4.77734375" style="75" customWidth="1"/>
    <col min="9193" max="9193" width="37.21875" style="75" bestFit="1" customWidth="1"/>
    <col min="9194" max="9195" width="5.21875" style="75" customWidth="1"/>
    <col min="9196" max="9196" width="12.77734375" style="75" bestFit="1" customWidth="1"/>
    <col min="9197" max="9197" width="13.77734375" style="75" bestFit="1" customWidth="1"/>
    <col min="9198" max="9198" width="5.5546875" style="75" bestFit="1" customWidth="1"/>
    <col min="9199" max="9199" width="14.44140625" style="75" bestFit="1" customWidth="1"/>
    <col min="9200" max="9200" width="8.77734375" style="75"/>
    <col min="9201" max="9201" width="36.44140625" style="75" customWidth="1"/>
    <col min="9202" max="9446" width="8.77734375" style="75"/>
    <col min="9447" max="9447" width="3.5546875" style="75" customWidth="1"/>
    <col min="9448" max="9448" width="4.77734375" style="75" customWidth="1"/>
    <col min="9449" max="9449" width="37.21875" style="75" bestFit="1" customWidth="1"/>
    <col min="9450" max="9451" width="5.21875" style="75" customWidth="1"/>
    <col min="9452" max="9452" width="12.77734375" style="75" bestFit="1" customWidth="1"/>
    <col min="9453" max="9453" width="13.77734375" style="75" bestFit="1" customWidth="1"/>
    <col min="9454" max="9454" width="5.5546875" style="75" bestFit="1" customWidth="1"/>
    <col min="9455" max="9455" width="14.44140625" style="75" bestFit="1" customWidth="1"/>
    <col min="9456" max="9456" width="8.77734375" style="75"/>
    <col min="9457" max="9457" width="36.44140625" style="75" customWidth="1"/>
    <col min="9458" max="9702" width="8.77734375" style="75"/>
    <col min="9703" max="9703" width="3.5546875" style="75" customWidth="1"/>
    <col min="9704" max="9704" width="4.77734375" style="75" customWidth="1"/>
    <col min="9705" max="9705" width="37.21875" style="75" bestFit="1" customWidth="1"/>
    <col min="9706" max="9707" width="5.21875" style="75" customWidth="1"/>
    <col min="9708" max="9708" width="12.77734375" style="75" bestFit="1" customWidth="1"/>
    <col min="9709" max="9709" width="13.77734375" style="75" bestFit="1" customWidth="1"/>
    <col min="9710" max="9710" width="5.5546875" style="75" bestFit="1" customWidth="1"/>
    <col min="9711" max="9711" width="14.44140625" style="75" bestFit="1" customWidth="1"/>
    <col min="9712" max="9712" width="8.77734375" style="75"/>
    <col min="9713" max="9713" width="36.44140625" style="75" customWidth="1"/>
    <col min="9714" max="9958" width="8.77734375" style="75"/>
    <col min="9959" max="9959" width="3.5546875" style="75" customWidth="1"/>
    <col min="9960" max="9960" width="4.77734375" style="75" customWidth="1"/>
    <col min="9961" max="9961" width="37.21875" style="75" bestFit="1" customWidth="1"/>
    <col min="9962" max="9963" width="5.21875" style="75" customWidth="1"/>
    <col min="9964" max="9964" width="12.77734375" style="75" bestFit="1" customWidth="1"/>
    <col min="9965" max="9965" width="13.77734375" style="75" bestFit="1" customWidth="1"/>
    <col min="9966" max="9966" width="5.5546875" style="75" bestFit="1" customWidth="1"/>
    <col min="9967" max="9967" width="14.44140625" style="75" bestFit="1" customWidth="1"/>
    <col min="9968" max="9968" width="8.77734375" style="75"/>
    <col min="9969" max="9969" width="36.44140625" style="75" customWidth="1"/>
    <col min="9970" max="10214" width="8.77734375" style="75"/>
    <col min="10215" max="10215" width="3.5546875" style="75" customWidth="1"/>
    <col min="10216" max="10216" width="4.77734375" style="75" customWidth="1"/>
    <col min="10217" max="10217" width="37.21875" style="75" bestFit="1" customWidth="1"/>
    <col min="10218" max="10219" width="5.21875" style="75" customWidth="1"/>
    <col min="10220" max="10220" width="12.77734375" style="75" bestFit="1" customWidth="1"/>
    <col min="10221" max="10221" width="13.77734375" style="75" bestFit="1" customWidth="1"/>
    <col min="10222" max="10222" width="5.5546875" style="75" bestFit="1" customWidth="1"/>
    <col min="10223" max="10223" width="14.44140625" style="75" bestFit="1" customWidth="1"/>
    <col min="10224" max="10224" width="8.77734375" style="75"/>
    <col min="10225" max="10225" width="36.44140625" style="75" customWidth="1"/>
    <col min="10226" max="10470" width="8.77734375" style="75"/>
    <col min="10471" max="10471" width="3.5546875" style="75" customWidth="1"/>
    <col min="10472" max="10472" width="4.77734375" style="75" customWidth="1"/>
    <col min="10473" max="10473" width="37.21875" style="75" bestFit="1" customWidth="1"/>
    <col min="10474" max="10475" width="5.21875" style="75" customWidth="1"/>
    <col min="10476" max="10476" width="12.77734375" style="75" bestFit="1" customWidth="1"/>
    <col min="10477" max="10477" width="13.77734375" style="75" bestFit="1" customWidth="1"/>
    <col min="10478" max="10478" width="5.5546875" style="75" bestFit="1" customWidth="1"/>
    <col min="10479" max="10479" width="14.44140625" style="75" bestFit="1" customWidth="1"/>
    <col min="10480" max="10480" width="8.77734375" style="75"/>
    <col min="10481" max="10481" width="36.44140625" style="75" customWidth="1"/>
    <col min="10482" max="10726" width="8.77734375" style="75"/>
    <col min="10727" max="10727" width="3.5546875" style="75" customWidth="1"/>
    <col min="10728" max="10728" width="4.77734375" style="75" customWidth="1"/>
    <col min="10729" max="10729" width="37.21875" style="75" bestFit="1" customWidth="1"/>
    <col min="10730" max="10731" width="5.21875" style="75" customWidth="1"/>
    <col min="10732" max="10732" width="12.77734375" style="75" bestFit="1" customWidth="1"/>
    <col min="10733" max="10733" width="13.77734375" style="75" bestFit="1" customWidth="1"/>
    <col min="10734" max="10734" width="5.5546875" style="75" bestFit="1" customWidth="1"/>
    <col min="10735" max="10735" width="14.44140625" style="75" bestFit="1" customWidth="1"/>
    <col min="10736" max="10736" width="8.77734375" style="75"/>
    <col min="10737" max="10737" width="36.44140625" style="75" customWidth="1"/>
    <col min="10738" max="10982" width="8.77734375" style="75"/>
    <col min="10983" max="10983" width="3.5546875" style="75" customWidth="1"/>
    <col min="10984" max="10984" width="4.77734375" style="75" customWidth="1"/>
    <col min="10985" max="10985" width="37.21875" style="75" bestFit="1" customWidth="1"/>
    <col min="10986" max="10987" width="5.21875" style="75" customWidth="1"/>
    <col min="10988" max="10988" width="12.77734375" style="75" bestFit="1" customWidth="1"/>
    <col min="10989" max="10989" width="13.77734375" style="75" bestFit="1" customWidth="1"/>
    <col min="10990" max="10990" width="5.5546875" style="75" bestFit="1" customWidth="1"/>
    <col min="10991" max="10991" width="14.44140625" style="75" bestFit="1" customWidth="1"/>
    <col min="10992" max="10992" width="8.77734375" style="75"/>
    <col min="10993" max="10993" width="36.44140625" style="75" customWidth="1"/>
    <col min="10994" max="11238" width="8.77734375" style="75"/>
    <col min="11239" max="11239" width="3.5546875" style="75" customWidth="1"/>
    <col min="11240" max="11240" width="4.77734375" style="75" customWidth="1"/>
    <col min="11241" max="11241" width="37.21875" style="75" bestFit="1" customWidth="1"/>
    <col min="11242" max="11243" width="5.21875" style="75" customWidth="1"/>
    <col min="11244" max="11244" width="12.77734375" style="75" bestFit="1" customWidth="1"/>
    <col min="11245" max="11245" width="13.77734375" style="75" bestFit="1" customWidth="1"/>
    <col min="11246" max="11246" width="5.5546875" style="75" bestFit="1" customWidth="1"/>
    <col min="11247" max="11247" width="14.44140625" style="75" bestFit="1" customWidth="1"/>
    <col min="11248" max="11248" width="8.77734375" style="75"/>
    <col min="11249" max="11249" width="36.44140625" style="75" customWidth="1"/>
    <col min="11250" max="11494" width="8.77734375" style="75"/>
    <col min="11495" max="11495" width="3.5546875" style="75" customWidth="1"/>
    <col min="11496" max="11496" width="4.77734375" style="75" customWidth="1"/>
    <col min="11497" max="11497" width="37.21875" style="75" bestFit="1" customWidth="1"/>
    <col min="11498" max="11499" width="5.21875" style="75" customWidth="1"/>
    <col min="11500" max="11500" width="12.77734375" style="75" bestFit="1" customWidth="1"/>
    <col min="11501" max="11501" width="13.77734375" style="75" bestFit="1" customWidth="1"/>
    <col min="11502" max="11502" width="5.5546875" style="75" bestFit="1" customWidth="1"/>
    <col min="11503" max="11503" width="14.44140625" style="75" bestFit="1" customWidth="1"/>
    <col min="11504" max="11504" width="8.77734375" style="75"/>
    <col min="11505" max="11505" width="36.44140625" style="75" customWidth="1"/>
    <col min="11506" max="11750" width="8.77734375" style="75"/>
    <col min="11751" max="11751" width="3.5546875" style="75" customWidth="1"/>
    <col min="11752" max="11752" width="4.77734375" style="75" customWidth="1"/>
    <col min="11753" max="11753" width="37.21875" style="75" bestFit="1" customWidth="1"/>
    <col min="11754" max="11755" width="5.21875" style="75" customWidth="1"/>
    <col min="11756" max="11756" width="12.77734375" style="75" bestFit="1" customWidth="1"/>
    <col min="11757" max="11757" width="13.77734375" style="75" bestFit="1" customWidth="1"/>
    <col min="11758" max="11758" width="5.5546875" style="75" bestFit="1" customWidth="1"/>
    <col min="11759" max="11759" width="14.44140625" style="75" bestFit="1" customWidth="1"/>
    <col min="11760" max="11760" width="8.77734375" style="75"/>
    <col min="11761" max="11761" width="36.44140625" style="75" customWidth="1"/>
    <col min="11762" max="12006" width="8.77734375" style="75"/>
    <col min="12007" max="12007" width="3.5546875" style="75" customWidth="1"/>
    <col min="12008" max="12008" width="4.77734375" style="75" customWidth="1"/>
    <col min="12009" max="12009" width="37.21875" style="75" bestFit="1" customWidth="1"/>
    <col min="12010" max="12011" width="5.21875" style="75" customWidth="1"/>
    <col min="12012" max="12012" width="12.77734375" style="75" bestFit="1" customWidth="1"/>
    <col min="12013" max="12013" width="13.77734375" style="75" bestFit="1" customWidth="1"/>
    <col min="12014" max="12014" width="5.5546875" style="75" bestFit="1" customWidth="1"/>
    <col min="12015" max="12015" width="14.44140625" style="75" bestFit="1" customWidth="1"/>
    <col min="12016" max="12016" width="8.77734375" style="75"/>
    <col min="12017" max="12017" width="36.44140625" style="75" customWidth="1"/>
    <col min="12018" max="12262" width="8.77734375" style="75"/>
    <col min="12263" max="12263" width="3.5546875" style="75" customWidth="1"/>
    <col min="12264" max="12264" width="4.77734375" style="75" customWidth="1"/>
    <col min="12265" max="12265" width="37.21875" style="75" bestFit="1" customWidth="1"/>
    <col min="12266" max="12267" width="5.21875" style="75" customWidth="1"/>
    <col min="12268" max="12268" width="12.77734375" style="75" bestFit="1" customWidth="1"/>
    <col min="12269" max="12269" width="13.77734375" style="75" bestFit="1" customWidth="1"/>
    <col min="12270" max="12270" width="5.5546875" style="75" bestFit="1" customWidth="1"/>
    <col min="12271" max="12271" width="14.44140625" style="75" bestFit="1" customWidth="1"/>
    <col min="12272" max="12272" width="8.77734375" style="75"/>
    <col min="12273" max="12273" width="36.44140625" style="75" customWidth="1"/>
    <col min="12274" max="12518" width="8.77734375" style="75"/>
    <col min="12519" max="12519" width="3.5546875" style="75" customWidth="1"/>
    <col min="12520" max="12520" width="4.77734375" style="75" customWidth="1"/>
    <col min="12521" max="12521" width="37.21875" style="75" bestFit="1" customWidth="1"/>
    <col min="12522" max="12523" width="5.21875" style="75" customWidth="1"/>
    <col min="12524" max="12524" width="12.77734375" style="75" bestFit="1" customWidth="1"/>
    <col min="12525" max="12525" width="13.77734375" style="75" bestFit="1" customWidth="1"/>
    <col min="12526" max="12526" width="5.5546875" style="75" bestFit="1" customWidth="1"/>
    <col min="12527" max="12527" width="14.44140625" style="75" bestFit="1" customWidth="1"/>
    <col min="12528" max="12528" width="8.77734375" style="75"/>
    <col min="12529" max="12529" width="36.44140625" style="75" customWidth="1"/>
    <col min="12530" max="12774" width="8.77734375" style="75"/>
    <col min="12775" max="12775" width="3.5546875" style="75" customWidth="1"/>
    <col min="12776" max="12776" width="4.77734375" style="75" customWidth="1"/>
    <col min="12777" max="12777" width="37.21875" style="75" bestFit="1" customWidth="1"/>
    <col min="12778" max="12779" width="5.21875" style="75" customWidth="1"/>
    <col min="12780" max="12780" width="12.77734375" style="75" bestFit="1" customWidth="1"/>
    <col min="12781" max="12781" width="13.77734375" style="75" bestFit="1" customWidth="1"/>
    <col min="12782" max="12782" width="5.5546875" style="75" bestFit="1" customWidth="1"/>
    <col min="12783" max="12783" width="14.44140625" style="75" bestFit="1" customWidth="1"/>
    <col min="12784" max="12784" width="8.77734375" style="75"/>
    <col min="12785" max="12785" width="36.44140625" style="75" customWidth="1"/>
    <col min="12786" max="13030" width="8.77734375" style="75"/>
    <col min="13031" max="13031" width="3.5546875" style="75" customWidth="1"/>
    <col min="13032" max="13032" width="4.77734375" style="75" customWidth="1"/>
    <col min="13033" max="13033" width="37.21875" style="75" bestFit="1" customWidth="1"/>
    <col min="13034" max="13035" width="5.21875" style="75" customWidth="1"/>
    <col min="13036" max="13036" width="12.77734375" style="75" bestFit="1" customWidth="1"/>
    <col min="13037" max="13037" width="13.77734375" style="75" bestFit="1" customWidth="1"/>
    <col min="13038" max="13038" width="5.5546875" style="75" bestFit="1" customWidth="1"/>
    <col min="13039" max="13039" width="14.44140625" style="75" bestFit="1" customWidth="1"/>
    <col min="13040" max="13040" width="8.77734375" style="75"/>
    <col min="13041" max="13041" width="36.44140625" style="75" customWidth="1"/>
    <col min="13042" max="13286" width="8.77734375" style="75"/>
    <col min="13287" max="13287" width="3.5546875" style="75" customWidth="1"/>
    <col min="13288" max="13288" width="4.77734375" style="75" customWidth="1"/>
    <col min="13289" max="13289" width="37.21875" style="75" bestFit="1" customWidth="1"/>
    <col min="13290" max="13291" width="5.21875" style="75" customWidth="1"/>
    <col min="13292" max="13292" width="12.77734375" style="75" bestFit="1" customWidth="1"/>
    <col min="13293" max="13293" width="13.77734375" style="75" bestFit="1" customWidth="1"/>
    <col min="13294" max="13294" width="5.5546875" style="75" bestFit="1" customWidth="1"/>
    <col min="13295" max="13295" width="14.44140625" style="75" bestFit="1" customWidth="1"/>
    <col min="13296" max="13296" width="8.77734375" style="75"/>
    <col min="13297" max="13297" width="36.44140625" style="75" customWidth="1"/>
    <col min="13298" max="13542" width="8.77734375" style="75"/>
    <col min="13543" max="13543" width="3.5546875" style="75" customWidth="1"/>
    <col min="13544" max="13544" width="4.77734375" style="75" customWidth="1"/>
    <col min="13545" max="13545" width="37.21875" style="75" bestFit="1" customWidth="1"/>
    <col min="13546" max="13547" width="5.21875" style="75" customWidth="1"/>
    <col min="13548" max="13548" width="12.77734375" style="75" bestFit="1" customWidth="1"/>
    <col min="13549" max="13549" width="13.77734375" style="75" bestFit="1" customWidth="1"/>
    <col min="13550" max="13550" width="5.5546875" style="75" bestFit="1" customWidth="1"/>
    <col min="13551" max="13551" width="14.44140625" style="75" bestFit="1" customWidth="1"/>
    <col min="13552" max="13552" width="8.77734375" style="75"/>
    <col min="13553" max="13553" width="36.44140625" style="75" customWidth="1"/>
    <col min="13554" max="13798" width="8.77734375" style="75"/>
    <col min="13799" max="13799" width="3.5546875" style="75" customWidth="1"/>
    <col min="13800" max="13800" width="4.77734375" style="75" customWidth="1"/>
    <col min="13801" max="13801" width="37.21875" style="75" bestFit="1" customWidth="1"/>
    <col min="13802" max="13803" width="5.21875" style="75" customWidth="1"/>
    <col min="13804" max="13804" width="12.77734375" style="75" bestFit="1" customWidth="1"/>
    <col min="13805" max="13805" width="13.77734375" style="75" bestFit="1" customWidth="1"/>
    <col min="13806" max="13806" width="5.5546875" style="75" bestFit="1" customWidth="1"/>
    <col min="13807" max="13807" width="14.44140625" style="75" bestFit="1" customWidth="1"/>
    <col min="13808" max="13808" width="8.77734375" style="75"/>
    <col min="13809" max="13809" width="36.44140625" style="75" customWidth="1"/>
    <col min="13810" max="14054" width="8.77734375" style="75"/>
    <col min="14055" max="14055" width="3.5546875" style="75" customWidth="1"/>
    <col min="14056" max="14056" width="4.77734375" style="75" customWidth="1"/>
    <col min="14057" max="14057" width="37.21875" style="75" bestFit="1" customWidth="1"/>
    <col min="14058" max="14059" width="5.21875" style="75" customWidth="1"/>
    <col min="14060" max="14060" width="12.77734375" style="75" bestFit="1" customWidth="1"/>
    <col min="14061" max="14061" width="13.77734375" style="75" bestFit="1" customWidth="1"/>
    <col min="14062" max="14062" width="5.5546875" style="75" bestFit="1" customWidth="1"/>
    <col min="14063" max="14063" width="14.44140625" style="75" bestFit="1" customWidth="1"/>
    <col min="14064" max="14064" width="8.77734375" style="75"/>
    <col min="14065" max="14065" width="36.44140625" style="75" customWidth="1"/>
    <col min="14066" max="14310" width="8.77734375" style="75"/>
    <col min="14311" max="14311" width="3.5546875" style="75" customWidth="1"/>
    <col min="14312" max="14312" width="4.77734375" style="75" customWidth="1"/>
    <col min="14313" max="14313" width="37.21875" style="75" bestFit="1" customWidth="1"/>
    <col min="14314" max="14315" width="5.21875" style="75" customWidth="1"/>
    <col min="14316" max="14316" width="12.77734375" style="75" bestFit="1" customWidth="1"/>
    <col min="14317" max="14317" width="13.77734375" style="75" bestFit="1" customWidth="1"/>
    <col min="14318" max="14318" width="5.5546875" style="75" bestFit="1" customWidth="1"/>
    <col min="14319" max="14319" width="14.44140625" style="75" bestFit="1" customWidth="1"/>
    <col min="14320" max="14320" width="8.77734375" style="75"/>
    <col min="14321" max="14321" width="36.44140625" style="75" customWidth="1"/>
    <col min="14322" max="14566" width="8.77734375" style="75"/>
    <col min="14567" max="14567" width="3.5546875" style="75" customWidth="1"/>
    <col min="14568" max="14568" width="4.77734375" style="75" customWidth="1"/>
    <col min="14569" max="14569" width="37.21875" style="75" bestFit="1" customWidth="1"/>
    <col min="14570" max="14571" width="5.21875" style="75" customWidth="1"/>
    <col min="14572" max="14572" width="12.77734375" style="75" bestFit="1" customWidth="1"/>
    <col min="14573" max="14573" width="13.77734375" style="75" bestFit="1" customWidth="1"/>
    <col min="14574" max="14574" width="5.5546875" style="75" bestFit="1" customWidth="1"/>
    <col min="14575" max="14575" width="14.44140625" style="75" bestFit="1" customWidth="1"/>
    <col min="14576" max="14576" width="8.77734375" style="75"/>
    <col min="14577" max="14577" width="36.44140625" style="75" customWidth="1"/>
    <col min="14578" max="14822" width="8.77734375" style="75"/>
    <col min="14823" max="14823" width="3.5546875" style="75" customWidth="1"/>
    <col min="14824" max="14824" width="4.77734375" style="75" customWidth="1"/>
    <col min="14825" max="14825" width="37.21875" style="75" bestFit="1" customWidth="1"/>
    <col min="14826" max="14827" width="5.21875" style="75" customWidth="1"/>
    <col min="14828" max="14828" width="12.77734375" style="75" bestFit="1" customWidth="1"/>
    <col min="14829" max="14829" width="13.77734375" style="75" bestFit="1" customWidth="1"/>
    <col min="14830" max="14830" width="5.5546875" style="75" bestFit="1" customWidth="1"/>
    <col min="14831" max="14831" width="14.44140625" style="75" bestFit="1" customWidth="1"/>
    <col min="14832" max="14832" width="8.77734375" style="75"/>
    <col min="14833" max="14833" width="36.44140625" style="75" customWidth="1"/>
    <col min="14834" max="15078" width="8.77734375" style="75"/>
    <col min="15079" max="15079" width="3.5546875" style="75" customWidth="1"/>
    <col min="15080" max="15080" width="4.77734375" style="75" customWidth="1"/>
    <col min="15081" max="15081" width="37.21875" style="75" bestFit="1" customWidth="1"/>
    <col min="15082" max="15083" width="5.21875" style="75" customWidth="1"/>
    <col min="15084" max="15084" width="12.77734375" style="75" bestFit="1" customWidth="1"/>
    <col min="15085" max="15085" width="13.77734375" style="75" bestFit="1" customWidth="1"/>
    <col min="15086" max="15086" width="5.5546875" style="75" bestFit="1" customWidth="1"/>
    <col min="15087" max="15087" width="14.44140625" style="75" bestFit="1" customWidth="1"/>
    <col min="15088" max="15088" width="8.77734375" style="75"/>
    <col min="15089" max="15089" width="36.44140625" style="75" customWidth="1"/>
    <col min="15090" max="15334" width="8.77734375" style="75"/>
    <col min="15335" max="15335" width="3.5546875" style="75" customWidth="1"/>
    <col min="15336" max="15336" width="4.77734375" style="75" customWidth="1"/>
    <col min="15337" max="15337" width="37.21875" style="75" bestFit="1" customWidth="1"/>
    <col min="15338" max="15339" width="5.21875" style="75" customWidth="1"/>
    <col min="15340" max="15340" width="12.77734375" style="75" bestFit="1" customWidth="1"/>
    <col min="15341" max="15341" width="13.77734375" style="75" bestFit="1" customWidth="1"/>
    <col min="15342" max="15342" width="5.5546875" style="75" bestFit="1" customWidth="1"/>
    <col min="15343" max="15343" width="14.44140625" style="75" bestFit="1" customWidth="1"/>
    <col min="15344" max="15344" width="8.77734375" style="75"/>
    <col min="15345" max="15345" width="36.44140625" style="75" customWidth="1"/>
    <col min="15346" max="15590" width="8.77734375" style="75"/>
    <col min="15591" max="15591" width="3.5546875" style="75" customWidth="1"/>
    <col min="15592" max="15592" width="4.77734375" style="75" customWidth="1"/>
    <col min="15593" max="15593" width="37.21875" style="75" bestFit="1" customWidth="1"/>
    <col min="15594" max="15595" width="5.21875" style="75" customWidth="1"/>
    <col min="15596" max="15596" width="12.77734375" style="75" bestFit="1" customWidth="1"/>
    <col min="15597" max="15597" width="13.77734375" style="75" bestFit="1" customWidth="1"/>
    <col min="15598" max="15598" width="5.5546875" style="75" bestFit="1" customWidth="1"/>
    <col min="15599" max="15599" width="14.44140625" style="75" bestFit="1" customWidth="1"/>
    <col min="15600" max="15600" width="8.77734375" style="75"/>
    <col min="15601" max="15601" width="36.44140625" style="75" customWidth="1"/>
    <col min="15602" max="15846" width="8.77734375" style="75"/>
    <col min="15847" max="15847" width="3.5546875" style="75" customWidth="1"/>
    <col min="15848" max="15848" width="4.77734375" style="75" customWidth="1"/>
    <col min="15849" max="15849" width="37.21875" style="75" bestFit="1" customWidth="1"/>
    <col min="15850" max="15851" width="5.21875" style="75" customWidth="1"/>
    <col min="15852" max="15852" width="12.77734375" style="75" bestFit="1" customWidth="1"/>
    <col min="15853" max="15853" width="13.77734375" style="75" bestFit="1" customWidth="1"/>
    <col min="15854" max="15854" width="5.5546875" style="75" bestFit="1" customWidth="1"/>
    <col min="15855" max="15855" width="14.44140625" style="75" bestFit="1" customWidth="1"/>
    <col min="15856" max="15856" width="8.77734375" style="75"/>
    <col min="15857" max="15857" width="36.44140625" style="75" customWidth="1"/>
    <col min="15858" max="16102" width="8.77734375" style="75"/>
    <col min="16103" max="16103" width="3.5546875" style="75" customWidth="1"/>
    <col min="16104" max="16104" width="4.77734375" style="75" customWidth="1"/>
    <col min="16105" max="16105" width="37.21875" style="75" bestFit="1" customWidth="1"/>
    <col min="16106" max="16107" width="5.21875" style="75" customWidth="1"/>
    <col min="16108" max="16108" width="12.77734375" style="75" bestFit="1" customWidth="1"/>
    <col min="16109" max="16109" width="13.77734375" style="75" bestFit="1" customWidth="1"/>
    <col min="16110" max="16110" width="5.5546875" style="75" bestFit="1" customWidth="1"/>
    <col min="16111" max="16111" width="14.44140625" style="75" bestFit="1" customWidth="1"/>
    <col min="16112" max="16112" width="8.77734375" style="75"/>
    <col min="16113" max="16113" width="36.44140625" style="75" customWidth="1"/>
    <col min="16114" max="16384" width="8.77734375" style="75"/>
  </cols>
  <sheetData>
    <row r="4" spans="2:7" x14ac:dyDescent="0.3">
      <c r="B4" s="404" t="s">
        <v>467</v>
      </c>
      <c r="C4" s="405"/>
      <c r="D4" s="439"/>
      <c r="E4" s="405"/>
      <c r="F4" s="405"/>
    </row>
    <row r="5" spans="2:7" x14ac:dyDescent="0.3">
      <c r="B5" s="407" t="s">
        <v>144</v>
      </c>
      <c r="C5" s="405" t="str">
        <f>'Covering Letter '!D5</f>
        <v>CS/0001/2025</v>
      </c>
      <c r="D5" s="439"/>
      <c r="E5" s="405"/>
      <c r="F5" s="405"/>
    </row>
    <row r="6" spans="2:7" x14ac:dyDescent="0.3">
      <c r="B6" s="405"/>
      <c r="C6" s="405"/>
      <c r="D6" s="439"/>
      <c r="E6" s="405"/>
      <c r="F6" s="405"/>
    </row>
    <row r="7" spans="2:7" x14ac:dyDescent="0.3">
      <c r="B7" s="585" t="s">
        <v>554</v>
      </c>
      <c r="C7" s="586"/>
      <c r="D7" s="586"/>
      <c r="E7" s="586"/>
      <c r="F7" s="587"/>
      <c r="G7" s="447"/>
    </row>
    <row r="8" spans="2:7" ht="15" thickBot="1" x14ac:dyDescent="0.35">
      <c r="B8" s="588" t="s">
        <v>146</v>
      </c>
      <c r="C8" s="589"/>
      <c r="D8" s="589"/>
      <c r="E8" s="589"/>
      <c r="F8" s="590"/>
      <c r="G8" s="447"/>
    </row>
    <row r="9" spans="2:7" ht="15" thickTop="1" x14ac:dyDescent="0.3">
      <c r="B9" s="591" t="s">
        <v>24</v>
      </c>
      <c r="C9" s="591"/>
      <c r="D9" s="592" t="s">
        <v>545</v>
      </c>
      <c r="E9" s="592"/>
      <c r="F9" s="592"/>
    </row>
    <row r="10" spans="2:7" x14ac:dyDescent="0.3">
      <c r="B10" s="593" t="s">
        <v>26</v>
      </c>
      <c r="C10" s="593"/>
      <c r="D10" s="594" t="s">
        <v>555</v>
      </c>
      <c r="E10" s="595"/>
      <c r="F10" s="595"/>
    </row>
    <row r="11" spans="2:7" x14ac:dyDescent="0.3">
      <c r="B11" s="435"/>
      <c r="C11" s="435"/>
      <c r="D11" s="440"/>
      <c r="E11" s="436"/>
      <c r="F11" s="435"/>
    </row>
    <row r="12" spans="2:7" x14ac:dyDescent="0.3">
      <c r="B12" s="581" t="s">
        <v>572</v>
      </c>
      <c r="C12" s="582"/>
      <c r="D12" s="582"/>
      <c r="E12" s="582"/>
      <c r="F12" s="583"/>
      <c r="G12" s="447"/>
    </row>
    <row r="13" spans="2:7" ht="15" thickBot="1" x14ac:dyDescent="0.35">
      <c r="B13" s="409" t="s">
        <v>45</v>
      </c>
      <c r="C13" s="409" t="s">
        <v>546</v>
      </c>
      <c r="D13" s="584" t="s">
        <v>547</v>
      </c>
      <c r="E13" s="584"/>
      <c r="F13" s="409" t="s">
        <v>550</v>
      </c>
      <c r="G13" s="447"/>
    </row>
    <row r="14" spans="2:7" ht="15" thickTop="1" x14ac:dyDescent="0.3">
      <c r="B14" s="411">
        <v>1</v>
      </c>
      <c r="C14" s="412" t="s">
        <v>236</v>
      </c>
      <c r="D14" s="441">
        <v>5</v>
      </c>
      <c r="E14" s="414" t="s">
        <v>238</v>
      </c>
      <c r="F14" s="417">
        <v>1</v>
      </c>
      <c r="G14" s="447"/>
    </row>
    <row r="15" spans="2:7" x14ac:dyDescent="0.3">
      <c r="B15" s="411">
        <v>2</v>
      </c>
      <c r="C15" s="412" t="s">
        <v>239</v>
      </c>
      <c r="D15" s="442">
        <v>1</v>
      </c>
      <c r="E15" s="414" t="s">
        <v>240</v>
      </c>
      <c r="F15" s="417">
        <v>1</v>
      </c>
      <c r="G15" s="447"/>
    </row>
    <row r="16" spans="2:7" x14ac:dyDescent="0.3">
      <c r="B16" s="411">
        <v>3</v>
      </c>
      <c r="C16" s="412" t="s">
        <v>241</v>
      </c>
      <c r="D16" s="442">
        <v>0</v>
      </c>
      <c r="E16" s="414" t="s">
        <v>243</v>
      </c>
      <c r="F16" s="417">
        <v>12</v>
      </c>
      <c r="G16" s="447"/>
    </row>
    <row r="17" spans="2:7" x14ac:dyDescent="0.3">
      <c r="B17" s="411">
        <v>4</v>
      </c>
      <c r="C17" s="412" t="s">
        <v>244</v>
      </c>
      <c r="D17" s="443">
        <v>8</v>
      </c>
      <c r="E17" s="422" t="s">
        <v>243</v>
      </c>
      <c r="F17" s="424">
        <v>1</v>
      </c>
      <c r="G17" s="447"/>
    </row>
    <row r="18" spans="2:7" x14ac:dyDescent="0.3">
      <c r="B18" s="411">
        <v>5</v>
      </c>
      <c r="C18" s="412" t="s">
        <v>245</v>
      </c>
      <c r="D18" s="444">
        <v>0</v>
      </c>
      <c r="E18" s="427" t="s">
        <v>246</v>
      </c>
      <c r="F18" s="424">
        <v>12</v>
      </c>
      <c r="G18" s="447"/>
    </row>
    <row r="19" spans="2:7" x14ac:dyDescent="0.3">
      <c r="B19" s="411">
        <v>6</v>
      </c>
      <c r="C19" s="412" t="s">
        <v>247</v>
      </c>
      <c r="D19" s="443">
        <v>6</v>
      </c>
      <c r="E19" s="422" t="s">
        <v>246</v>
      </c>
      <c r="F19" s="424">
        <v>12</v>
      </c>
      <c r="G19" s="447"/>
    </row>
    <row r="20" spans="2:7" x14ac:dyDescent="0.3">
      <c r="B20" s="579" t="s">
        <v>553</v>
      </c>
      <c r="C20" s="580"/>
      <c r="D20" s="580"/>
      <c r="E20" s="580"/>
      <c r="F20" s="596"/>
      <c r="G20" s="448" t="e">
        <f>#REF!/4</f>
        <v>#REF!</v>
      </c>
    </row>
    <row r="21" spans="2:7" x14ac:dyDescent="0.3">
      <c r="B21" s="408"/>
      <c r="C21" s="429"/>
      <c r="D21" s="445"/>
      <c r="E21" s="408"/>
      <c r="F21" s="432"/>
    </row>
    <row r="22" spans="2:7" x14ac:dyDescent="0.3">
      <c r="B22" s="581" t="s">
        <v>573</v>
      </c>
      <c r="C22" s="582"/>
      <c r="D22" s="582"/>
      <c r="E22" s="582"/>
      <c r="F22" s="583"/>
      <c r="G22" s="447"/>
    </row>
    <row r="23" spans="2:7" ht="15" thickBot="1" x14ac:dyDescent="0.35">
      <c r="B23" s="409" t="s">
        <v>45</v>
      </c>
      <c r="C23" s="409" t="s">
        <v>546</v>
      </c>
      <c r="D23" s="584" t="s">
        <v>547</v>
      </c>
      <c r="E23" s="584"/>
      <c r="F23" s="409" t="s">
        <v>550</v>
      </c>
      <c r="G23" s="447"/>
    </row>
    <row r="24" spans="2:7" ht="15" thickTop="1" x14ac:dyDescent="0.3">
      <c r="B24" s="411">
        <v>1</v>
      </c>
      <c r="C24" s="412" t="s">
        <v>556</v>
      </c>
      <c r="D24" s="441">
        <v>0</v>
      </c>
      <c r="E24" s="414" t="s">
        <v>246</v>
      </c>
      <c r="F24" s="417">
        <v>24</v>
      </c>
      <c r="G24" s="447"/>
    </row>
    <row r="25" spans="2:7" x14ac:dyDescent="0.3">
      <c r="B25" s="411">
        <v>2</v>
      </c>
      <c r="C25" s="412" t="s">
        <v>251</v>
      </c>
      <c r="D25" s="441">
        <v>0</v>
      </c>
      <c r="E25" s="414" t="s">
        <v>246</v>
      </c>
      <c r="F25" s="417">
        <v>24</v>
      </c>
      <c r="G25" s="447"/>
    </row>
    <row r="26" spans="2:7" x14ac:dyDescent="0.3">
      <c r="B26" s="411">
        <v>3</v>
      </c>
      <c r="C26" s="412" t="s">
        <v>252</v>
      </c>
      <c r="D26" s="441">
        <v>0</v>
      </c>
      <c r="E26" s="414" t="s">
        <v>246</v>
      </c>
      <c r="F26" s="417">
        <v>24</v>
      </c>
      <c r="G26" s="447"/>
    </row>
    <row r="27" spans="2:7" x14ac:dyDescent="0.3">
      <c r="B27" s="411">
        <v>4</v>
      </c>
      <c r="C27" s="412" t="s">
        <v>253</v>
      </c>
      <c r="D27" s="441">
        <v>0</v>
      </c>
      <c r="E27" s="422" t="s">
        <v>246</v>
      </c>
      <c r="F27" s="424">
        <v>24</v>
      </c>
      <c r="G27" s="447"/>
    </row>
    <row r="28" spans="2:7" x14ac:dyDescent="0.3">
      <c r="B28" s="411">
        <v>5</v>
      </c>
      <c r="C28" s="412" t="s">
        <v>255</v>
      </c>
      <c r="D28" s="441">
        <v>0</v>
      </c>
      <c r="E28" s="427" t="s">
        <v>246</v>
      </c>
      <c r="F28" s="424">
        <v>12</v>
      </c>
      <c r="G28" s="447"/>
    </row>
    <row r="29" spans="2:7" x14ac:dyDescent="0.3">
      <c r="B29" s="411">
        <v>6</v>
      </c>
      <c r="C29" s="412" t="s">
        <v>557</v>
      </c>
      <c r="D29" s="441">
        <v>0</v>
      </c>
      <c r="E29" s="427" t="s">
        <v>246</v>
      </c>
      <c r="F29" s="424">
        <v>24</v>
      </c>
      <c r="G29" s="447"/>
    </row>
    <row r="30" spans="2:7" x14ac:dyDescent="0.3">
      <c r="B30" s="411">
        <v>7</v>
      </c>
      <c r="C30" s="412" t="s">
        <v>568</v>
      </c>
      <c r="D30" s="441">
        <v>0</v>
      </c>
      <c r="E30" s="427" t="s">
        <v>246</v>
      </c>
      <c r="F30" s="424">
        <v>24</v>
      </c>
      <c r="G30" s="447"/>
    </row>
    <row r="31" spans="2:7" x14ac:dyDescent="0.3">
      <c r="B31" s="411">
        <v>8</v>
      </c>
      <c r="C31" s="412" t="s">
        <v>261</v>
      </c>
      <c r="D31" s="441">
        <v>0</v>
      </c>
      <c r="E31" s="427" t="s">
        <v>246</v>
      </c>
      <c r="F31" s="424">
        <v>24</v>
      </c>
      <c r="G31" s="447"/>
    </row>
    <row r="32" spans="2:7" x14ac:dyDescent="0.3">
      <c r="B32" s="411">
        <v>9</v>
      </c>
      <c r="C32" s="412" t="s">
        <v>262</v>
      </c>
      <c r="D32" s="441">
        <v>0</v>
      </c>
      <c r="E32" s="427" t="s">
        <v>246</v>
      </c>
      <c r="F32" s="424">
        <v>24</v>
      </c>
      <c r="G32" s="447"/>
    </row>
    <row r="33" spans="2:7" x14ac:dyDescent="0.3">
      <c r="B33" s="411">
        <v>10</v>
      </c>
      <c r="C33" s="412" t="s">
        <v>263</v>
      </c>
      <c r="D33" s="444">
        <v>4</v>
      </c>
      <c r="E33" s="427" t="s">
        <v>246</v>
      </c>
      <c r="F33" s="424">
        <v>12</v>
      </c>
      <c r="G33" s="447"/>
    </row>
    <row r="34" spans="2:7" x14ac:dyDescent="0.3">
      <c r="B34" s="411">
        <v>11</v>
      </c>
      <c r="C34" s="412" t="s">
        <v>569</v>
      </c>
      <c r="D34" s="441">
        <v>0</v>
      </c>
      <c r="E34" s="427" t="s">
        <v>246</v>
      </c>
      <c r="F34" s="424">
        <v>24</v>
      </c>
      <c r="G34" s="447"/>
    </row>
    <row r="35" spans="2:7" x14ac:dyDescent="0.3">
      <c r="B35" s="411">
        <v>12</v>
      </c>
      <c r="C35" s="412" t="s">
        <v>265</v>
      </c>
      <c r="D35" s="441">
        <v>0</v>
      </c>
      <c r="E35" s="427" t="s">
        <v>246</v>
      </c>
      <c r="F35" s="424">
        <v>24</v>
      </c>
      <c r="G35" s="447"/>
    </row>
    <row r="36" spans="2:7" x14ac:dyDescent="0.3">
      <c r="B36" s="411">
        <v>13</v>
      </c>
      <c r="C36" s="412" t="s">
        <v>570</v>
      </c>
      <c r="D36" s="441">
        <v>0</v>
      </c>
      <c r="E36" s="427" t="s">
        <v>246</v>
      </c>
      <c r="F36" s="424">
        <v>24</v>
      </c>
      <c r="G36" s="447"/>
    </row>
    <row r="37" spans="2:7" x14ac:dyDescent="0.3">
      <c r="B37" s="411">
        <v>14</v>
      </c>
      <c r="C37" s="412" t="s">
        <v>571</v>
      </c>
      <c r="D37" s="441">
        <v>0</v>
      </c>
      <c r="E37" s="427" t="s">
        <v>246</v>
      </c>
      <c r="F37" s="424">
        <v>24</v>
      </c>
      <c r="G37" s="447"/>
    </row>
    <row r="38" spans="2:7" x14ac:dyDescent="0.3">
      <c r="B38" s="411">
        <v>15</v>
      </c>
      <c r="C38" s="412" t="s">
        <v>268</v>
      </c>
      <c r="D38" s="444">
        <v>2</v>
      </c>
      <c r="E38" s="427" t="s">
        <v>246</v>
      </c>
      <c r="F38" s="424">
        <v>12</v>
      </c>
      <c r="G38" s="447"/>
    </row>
    <row r="39" spans="2:7" x14ac:dyDescent="0.3">
      <c r="B39" s="411">
        <v>16</v>
      </c>
      <c r="C39" s="412" t="s">
        <v>269</v>
      </c>
      <c r="D39" s="444">
        <v>2</v>
      </c>
      <c r="E39" s="427" t="s">
        <v>246</v>
      </c>
      <c r="F39" s="424">
        <v>24</v>
      </c>
      <c r="G39" s="447"/>
    </row>
    <row r="40" spans="2:7" x14ac:dyDescent="0.3">
      <c r="B40" s="411">
        <v>17</v>
      </c>
      <c r="C40" s="412" t="s">
        <v>270</v>
      </c>
      <c r="D40" s="444">
        <v>3</v>
      </c>
      <c r="E40" s="427" t="s">
        <v>246</v>
      </c>
      <c r="F40" s="424">
        <v>24</v>
      </c>
      <c r="G40" s="447"/>
    </row>
    <row r="41" spans="2:7" x14ac:dyDescent="0.3">
      <c r="B41" s="411">
        <v>18</v>
      </c>
      <c r="C41" s="412" t="s">
        <v>271</v>
      </c>
      <c r="D41" s="441">
        <v>0</v>
      </c>
      <c r="E41" s="427" t="s">
        <v>246</v>
      </c>
      <c r="F41" s="424">
        <v>24</v>
      </c>
      <c r="G41" s="447"/>
    </row>
    <row r="42" spans="2:7" x14ac:dyDescent="0.3">
      <c r="B42" s="411">
        <v>19</v>
      </c>
      <c r="C42" s="412" t="s">
        <v>272</v>
      </c>
      <c r="D42" s="441">
        <v>0</v>
      </c>
      <c r="E42" s="427" t="s">
        <v>246</v>
      </c>
      <c r="F42" s="424">
        <v>24</v>
      </c>
      <c r="G42" s="447"/>
    </row>
    <row r="43" spans="2:7" x14ac:dyDescent="0.3">
      <c r="B43" s="411">
        <v>20</v>
      </c>
      <c r="C43" s="412" t="s">
        <v>558</v>
      </c>
      <c r="D43" s="444">
        <v>4</v>
      </c>
      <c r="E43" s="427" t="s">
        <v>246</v>
      </c>
      <c r="F43" s="424">
        <v>12</v>
      </c>
      <c r="G43" s="447"/>
    </row>
    <row r="44" spans="2:7" x14ac:dyDescent="0.3">
      <c r="B44" s="411">
        <v>21</v>
      </c>
      <c r="C44" s="412" t="s">
        <v>274</v>
      </c>
      <c r="D44" s="441">
        <v>0</v>
      </c>
      <c r="E44" s="427" t="s">
        <v>246</v>
      </c>
      <c r="F44" s="424">
        <v>24</v>
      </c>
      <c r="G44" s="447"/>
    </row>
    <row r="45" spans="2:7" x14ac:dyDescent="0.3">
      <c r="B45" s="411">
        <v>22</v>
      </c>
      <c r="C45" s="412" t="s">
        <v>275</v>
      </c>
      <c r="D45" s="441">
        <v>0</v>
      </c>
      <c r="E45" s="427" t="s">
        <v>246</v>
      </c>
      <c r="F45" s="424">
        <v>24</v>
      </c>
      <c r="G45" s="447"/>
    </row>
    <row r="46" spans="2:7" x14ac:dyDescent="0.3">
      <c r="B46" s="411">
        <v>23</v>
      </c>
      <c r="C46" s="412" t="s">
        <v>276</v>
      </c>
      <c r="D46" s="441">
        <v>0</v>
      </c>
      <c r="E46" s="427" t="s">
        <v>246</v>
      </c>
      <c r="F46" s="424">
        <v>24</v>
      </c>
      <c r="G46" s="447"/>
    </row>
    <row r="47" spans="2:7" x14ac:dyDescent="0.3">
      <c r="B47" s="411">
        <v>24</v>
      </c>
      <c r="C47" s="412" t="s">
        <v>277</v>
      </c>
      <c r="D47" s="441">
        <v>0</v>
      </c>
      <c r="E47" s="427" t="s">
        <v>246</v>
      </c>
      <c r="F47" s="424">
        <v>24</v>
      </c>
      <c r="G47" s="447"/>
    </row>
    <row r="48" spans="2:7" x14ac:dyDescent="0.3">
      <c r="B48" s="411">
        <v>25</v>
      </c>
      <c r="C48" s="412" t="s">
        <v>278</v>
      </c>
      <c r="D48" s="441">
        <v>0</v>
      </c>
      <c r="E48" s="427" t="s">
        <v>246</v>
      </c>
      <c r="F48" s="424">
        <v>24</v>
      </c>
      <c r="G48" s="447"/>
    </row>
    <row r="49" spans="2:7" x14ac:dyDescent="0.3">
      <c r="B49" s="411">
        <v>26</v>
      </c>
      <c r="C49" s="412" t="s">
        <v>279</v>
      </c>
      <c r="D49" s="441">
        <v>0</v>
      </c>
      <c r="E49" s="427" t="s">
        <v>246</v>
      </c>
      <c r="F49" s="424">
        <v>24</v>
      </c>
      <c r="G49" s="447"/>
    </row>
    <row r="50" spans="2:7" x14ac:dyDescent="0.3">
      <c r="B50" s="411">
        <v>27</v>
      </c>
      <c r="C50" s="412" t="s">
        <v>280</v>
      </c>
      <c r="D50" s="441">
        <v>0</v>
      </c>
      <c r="E50" s="427" t="s">
        <v>246</v>
      </c>
      <c r="F50" s="424">
        <v>24</v>
      </c>
      <c r="G50" s="447"/>
    </row>
    <row r="51" spans="2:7" x14ac:dyDescent="0.3">
      <c r="B51" s="411">
        <v>28</v>
      </c>
      <c r="C51" s="412" t="s">
        <v>281</v>
      </c>
      <c r="D51" s="444">
        <v>10</v>
      </c>
      <c r="E51" s="427" t="s">
        <v>246</v>
      </c>
      <c r="F51" s="424">
        <v>24</v>
      </c>
      <c r="G51" s="447"/>
    </row>
    <row r="52" spans="2:7" x14ac:dyDescent="0.3">
      <c r="B52" s="411">
        <v>29</v>
      </c>
      <c r="C52" s="412" t="s">
        <v>282</v>
      </c>
      <c r="D52" s="444">
        <v>2</v>
      </c>
      <c r="E52" s="427" t="s">
        <v>246</v>
      </c>
      <c r="F52" s="424">
        <v>24</v>
      </c>
      <c r="G52" s="447"/>
    </row>
    <row r="53" spans="2:7" x14ac:dyDescent="0.3">
      <c r="B53" s="411">
        <v>30</v>
      </c>
      <c r="C53" s="412" t="s">
        <v>559</v>
      </c>
      <c r="D53" s="441">
        <v>0</v>
      </c>
      <c r="E53" s="427" t="s">
        <v>246</v>
      </c>
      <c r="F53" s="424">
        <v>24</v>
      </c>
      <c r="G53" s="447"/>
    </row>
    <row r="54" spans="2:7" x14ac:dyDescent="0.3">
      <c r="B54" s="411">
        <v>31</v>
      </c>
      <c r="C54" s="412" t="s">
        <v>560</v>
      </c>
      <c r="D54" s="441">
        <v>0</v>
      </c>
      <c r="E54" s="427" t="s">
        <v>246</v>
      </c>
      <c r="F54" s="424">
        <v>24</v>
      </c>
      <c r="G54" s="447"/>
    </row>
    <row r="55" spans="2:7" x14ac:dyDescent="0.3">
      <c r="B55" s="411">
        <v>32</v>
      </c>
      <c r="C55" s="412" t="s">
        <v>285</v>
      </c>
      <c r="D55" s="444">
        <v>2</v>
      </c>
      <c r="E55" s="427" t="s">
        <v>246</v>
      </c>
      <c r="F55" s="424">
        <v>24</v>
      </c>
      <c r="G55" s="447"/>
    </row>
    <row r="56" spans="2:7" x14ac:dyDescent="0.3">
      <c r="B56" s="411">
        <v>33</v>
      </c>
      <c r="C56" s="412" t="s">
        <v>552</v>
      </c>
      <c r="D56" s="444">
        <v>1</v>
      </c>
      <c r="E56" s="427" t="s">
        <v>246</v>
      </c>
      <c r="F56" s="424">
        <v>24</v>
      </c>
      <c r="G56" s="447"/>
    </row>
    <row r="57" spans="2:7" x14ac:dyDescent="0.3">
      <c r="B57" s="411">
        <v>34</v>
      </c>
      <c r="C57" s="412" t="s">
        <v>561</v>
      </c>
      <c r="D57" s="441">
        <v>0</v>
      </c>
      <c r="E57" s="427" t="s">
        <v>246</v>
      </c>
      <c r="F57" s="424">
        <v>24</v>
      </c>
      <c r="G57" s="447"/>
    </row>
    <row r="58" spans="2:7" x14ac:dyDescent="0.3">
      <c r="B58" s="411">
        <v>35</v>
      </c>
      <c r="C58" s="412" t="s">
        <v>562</v>
      </c>
      <c r="D58" s="441">
        <v>0</v>
      </c>
      <c r="E58" s="427" t="s">
        <v>246</v>
      </c>
      <c r="F58" s="424">
        <v>24</v>
      </c>
      <c r="G58" s="447"/>
    </row>
    <row r="59" spans="2:7" x14ac:dyDescent="0.3">
      <c r="B59" s="411">
        <v>36</v>
      </c>
      <c r="C59" s="412" t="s">
        <v>563</v>
      </c>
      <c r="D59" s="441">
        <v>0</v>
      </c>
      <c r="E59" s="427" t="s">
        <v>246</v>
      </c>
      <c r="F59" s="424">
        <v>24</v>
      </c>
      <c r="G59" s="447"/>
    </row>
    <row r="60" spans="2:7" x14ac:dyDescent="0.3">
      <c r="B60" s="411">
        <v>37</v>
      </c>
      <c r="C60" s="412" t="s">
        <v>292</v>
      </c>
      <c r="D60" s="441">
        <v>0</v>
      </c>
      <c r="E60" s="427" t="s">
        <v>246</v>
      </c>
      <c r="F60" s="424">
        <v>12</v>
      </c>
      <c r="G60" s="447"/>
    </row>
    <row r="61" spans="2:7" x14ac:dyDescent="0.3">
      <c r="B61" s="411">
        <v>38</v>
      </c>
      <c r="C61" s="412" t="s">
        <v>293</v>
      </c>
      <c r="D61" s="444">
        <v>3</v>
      </c>
      <c r="E61" s="427" t="s">
        <v>246</v>
      </c>
      <c r="F61" s="424">
        <v>24</v>
      </c>
      <c r="G61" s="447"/>
    </row>
    <row r="62" spans="2:7" x14ac:dyDescent="0.3">
      <c r="B62" s="411">
        <v>39</v>
      </c>
      <c r="C62" s="412" t="s">
        <v>294</v>
      </c>
      <c r="D62" s="441">
        <v>0</v>
      </c>
      <c r="E62" s="427" t="s">
        <v>295</v>
      </c>
      <c r="F62" s="424">
        <v>12</v>
      </c>
      <c r="G62" s="447"/>
    </row>
    <row r="63" spans="2:7" x14ac:dyDescent="0.3">
      <c r="B63" s="411">
        <v>40</v>
      </c>
      <c r="C63" s="412" t="s">
        <v>296</v>
      </c>
      <c r="D63" s="444">
        <v>2</v>
      </c>
      <c r="E63" s="427" t="s">
        <v>246</v>
      </c>
      <c r="F63" s="424">
        <v>24</v>
      </c>
      <c r="G63" s="447"/>
    </row>
    <row r="64" spans="2:7" x14ac:dyDescent="0.3">
      <c r="B64" s="411">
        <v>41</v>
      </c>
      <c r="C64" s="412" t="s">
        <v>297</v>
      </c>
      <c r="D64" s="441">
        <v>0</v>
      </c>
      <c r="E64" s="427" t="s">
        <v>295</v>
      </c>
      <c r="F64" s="424">
        <v>12</v>
      </c>
      <c r="G64" s="447"/>
    </row>
    <row r="65" spans="2:7" x14ac:dyDescent="0.3">
      <c r="B65" s="411">
        <v>42</v>
      </c>
      <c r="C65" s="412" t="s">
        <v>564</v>
      </c>
      <c r="D65" s="444">
        <v>1</v>
      </c>
      <c r="E65" s="427" t="s">
        <v>246</v>
      </c>
      <c r="F65" s="424">
        <v>24</v>
      </c>
      <c r="G65" s="447"/>
    </row>
    <row r="66" spans="2:7" x14ac:dyDescent="0.3">
      <c r="B66" s="411">
        <v>43</v>
      </c>
      <c r="C66" s="412" t="s">
        <v>299</v>
      </c>
      <c r="D66" s="444">
        <v>1</v>
      </c>
      <c r="E66" s="427" t="s">
        <v>246</v>
      </c>
      <c r="F66" s="424">
        <v>24</v>
      </c>
      <c r="G66" s="447"/>
    </row>
    <row r="67" spans="2:7" x14ac:dyDescent="0.3">
      <c r="B67" s="411">
        <v>44</v>
      </c>
      <c r="C67" s="412" t="s">
        <v>300</v>
      </c>
      <c r="D67" s="444">
        <v>1</v>
      </c>
      <c r="E67" s="427" t="s">
        <v>246</v>
      </c>
      <c r="F67" s="424">
        <v>24</v>
      </c>
      <c r="G67" s="447"/>
    </row>
    <row r="68" spans="2:7" x14ac:dyDescent="0.3">
      <c r="B68" s="411">
        <v>45</v>
      </c>
      <c r="C68" s="412" t="s">
        <v>301</v>
      </c>
      <c r="D68" s="444">
        <v>1</v>
      </c>
      <c r="E68" s="427" t="s">
        <v>246</v>
      </c>
      <c r="F68" s="424">
        <v>24</v>
      </c>
      <c r="G68" s="447"/>
    </row>
    <row r="69" spans="2:7" x14ac:dyDescent="0.3">
      <c r="B69" s="411">
        <v>46</v>
      </c>
      <c r="C69" s="412" t="s">
        <v>302</v>
      </c>
      <c r="D69" s="444">
        <v>1</v>
      </c>
      <c r="E69" s="427" t="s">
        <v>246</v>
      </c>
      <c r="F69" s="424">
        <v>12</v>
      </c>
      <c r="G69" s="447"/>
    </row>
    <row r="70" spans="2:7" x14ac:dyDescent="0.3">
      <c r="B70" s="411">
        <v>47</v>
      </c>
      <c r="C70" s="412" t="s">
        <v>565</v>
      </c>
      <c r="D70" s="444">
        <v>2</v>
      </c>
      <c r="E70" s="427" t="s">
        <v>243</v>
      </c>
      <c r="F70" s="424">
        <v>24</v>
      </c>
      <c r="G70" s="447"/>
    </row>
    <row r="71" spans="2:7" x14ac:dyDescent="0.3">
      <c r="B71" s="411">
        <v>48</v>
      </c>
      <c r="C71" s="412" t="s">
        <v>305</v>
      </c>
      <c r="D71" s="444">
        <v>2</v>
      </c>
      <c r="E71" s="427" t="s">
        <v>246</v>
      </c>
      <c r="F71" s="424">
        <v>24</v>
      </c>
      <c r="G71" s="447"/>
    </row>
    <row r="72" spans="2:7" x14ac:dyDescent="0.3">
      <c r="B72" s="411">
        <v>49</v>
      </c>
      <c r="C72" s="412" t="s">
        <v>306</v>
      </c>
      <c r="D72" s="444">
        <v>2</v>
      </c>
      <c r="E72" s="427" t="s">
        <v>295</v>
      </c>
      <c r="F72" s="424">
        <v>24</v>
      </c>
      <c r="G72" s="447"/>
    </row>
    <row r="73" spans="2:7" x14ac:dyDescent="0.3">
      <c r="B73" s="411">
        <v>50</v>
      </c>
      <c r="C73" s="412" t="s">
        <v>307</v>
      </c>
      <c r="D73" s="444">
        <v>3</v>
      </c>
      <c r="E73" s="427" t="s">
        <v>246</v>
      </c>
      <c r="F73" s="424">
        <v>24</v>
      </c>
      <c r="G73" s="447"/>
    </row>
    <row r="74" spans="2:7" x14ac:dyDescent="0.3">
      <c r="B74" s="411">
        <v>51</v>
      </c>
      <c r="C74" s="412" t="s">
        <v>308</v>
      </c>
      <c r="D74" s="444">
        <v>3</v>
      </c>
      <c r="E74" s="427" t="s">
        <v>246</v>
      </c>
      <c r="F74" s="424">
        <v>24</v>
      </c>
      <c r="G74" s="447"/>
    </row>
    <row r="75" spans="2:7" x14ac:dyDescent="0.3">
      <c r="B75" s="411">
        <v>52</v>
      </c>
      <c r="C75" s="412" t="s">
        <v>311</v>
      </c>
      <c r="D75" s="444">
        <v>2</v>
      </c>
      <c r="E75" s="427" t="s">
        <v>246</v>
      </c>
      <c r="F75" s="424">
        <v>12</v>
      </c>
      <c r="G75" s="447"/>
    </row>
    <row r="76" spans="2:7" x14ac:dyDescent="0.3">
      <c r="B76" s="411">
        <v>53</v>
      </c>
      <c r="C76" s="412" t="s">
        <v>566</v>
      </c>
      <c r="D76" s="444">
        <v>2</v>
      </c>
      <c r="E76" s="427" t="s">
        <v>246</v>
      </c>
      <c r="F76" s="424">
        <v>12</v>
      </c>
      <c r="G76" s="447"/>
    </row>
    <row r="77" spans="2:7" x14ac:dyDescent="0.3">
      <c r="B77" s="411">
        <v>54</v>
      </c>
      <c r="C77" s="412" t="s">
        <v>567</v>
      </c>
      <c r="D77" s="444">
        <v>2</v>
      </c>
      <c r="E77" s="427" t="s">
        <v>246</v>
      </c>
      <c r="F77" s="424">
        <v>12</v>
      </c>
      <c r="G77" s="447"/>
    </row>
    <row r="78" spans="2:7" x14ac:dyDescent="0.3">
      <c r="B78" s="411">
        <v>55</v>
      </c>
      <c r="C78" s="412" t="s">
        <v>315</v>
      </c>
      <c r="D78" s="444">
        <v>2</v>
      </c>
      <c r="E78" s="427" t="s">
        <v>295</v>
      </c>
      <c r="F78" s="424">
        <v>24</v>
      </c>
      <c r="G78" s="447"/>
    </row>
    <row r="79" spans="2:7" x14ac:dyDescent="0.3">
      <c r="B79" s="411">
        <v>56</v>
      </c>
      <c r="C79" s="412" t="s">
        <v>316</v>
      </c>
      <c r="D79" s="444">
        <v>1</v>
      </c>
      <c r="E79" s="427" t="s">
        <v>246</v>
      </c>
      <c r="F79" s="424">
        <v>12</v>
      </c>
      <c r="G79" s="447"/>
    </row>
    <row r="80" spans="2:7" x14ac:dyDescent="0.3">
      <c r="B80" s="411">
        <v>57</v>
      </c>
      <c r="C80" s="412" t="s">
        <v>317</v>
      </c>
      <c r="D80" s="444">
        <v>5</v>
      </c>
      <c r="E80" s="427" t="s">
        <v>246</v>
      </c>
      <c r="F80" s="424">
        <v>6</v>
      </c>
      <c r="G80" s="447"/>
    </row>
    <row r="81" spans="2:7" x14ac:dyDescent="0.3">
      <c r="B81" s="411">
        <v>58</v>
      </c>
      <c r="C81" s="412" t="s">
        <v>594</v>
      </c>
      <c r="D81" s="444">
        <v>400</v>
      </c>
      <c r="E81" s="427" t="s">
        <v>595</v>
      </c>
      <c r="F81" s="424">
        <v>12</v>
      </c>
      <c r="G81" s="447"/>
    </row>
    <row r="82" spans="2:7" hidden="1" x14ac:dyDescent="0.3">
      <c r="B82" s="579" t="s">
        <v>553</v>
      </c>
      <c r="C82" s="580"/>
      <c r="D82" s="580"/>
      <c r="E82" s="580"/>
      <c r="F82" s="580"/>
    </row>
    <row r="84" spans="2:7" x14ac:dyDescent="0.3">
      <c r="B84" s="581" t="s">
        <v>574</v>
      </c>
      <c r="C84" s="582"/>
      <c r="D84" s="582"/>
      <c r="E84" s="582"/>
      <c r="F84" s="583"/>
      <c r="G84" s="447"/>
    </row>
    <row r="85" spans="2:7" ht="15" thickBot="1" x14ac:dyDescent="0.35">
      <c r="B85" s="409" t="s">
        <v>45</v>
      </c>
      <c r="C85" s="409" t="s">
        <v>546</v>
      </c>
      <c r="D85" s="584" t="s">
        <v>547</v>
      </c>
      <c r="E85" s="584"/>
      <c r="F85" s="409" t="s">
        <v>550</v>
      </c>
      <c r="G85" s="447"/>
    </row>
    <row r="86" spans="2:7" ht="15" thickTop="1" x14ac:dyDescent="0.3">
      <c r="B86" s="411">
        <v>1</v>
      </c>
      <c r="C86" s="412" t="s">
        <v>319</v>
      </c>
      <c r="D86" s="441">
        <v>0</v>
      </c>
      <c r="E86" s="414" t="s">
        <v>246</v>
      </c>
      <c r="F86" s="417">
        <v>24</v>
      </c>
      <c r="G86" s="447"/>
    </row>
    <row r="87" spans="2:7" x14ac:dyDescent="0.3">
      <c r="B87" s="411">
        <v>2</v>
      </c>
      <c r="C87" s="412" t="s">
        <v>322</v>
      </c>
      <c r="D87" s="442">
        <v>3</v>
      </c>
      <c r="E87" s="414" t="s">
        <v>246</v>
      </c>
      <c r="F87" s="417">
        <v>1</v>
      </c>
      <c r="G87" s="447"/>
    </row>
    <row r="88" spans="2:7" x14ac:dyDescent="0.3">
      <c r="B88" s="411">
        <v>3</v>
      </c>
      <c r="C88" s="412" t="s">
        <v>325</v>
      </c>
      <c r="D88" s="442">
        <v>3</v>
      </c>
      <c r="E88" s="414" t="s">
        <v>246</v>
      </c>
      <c r="F88" s="417">
        <v>12</v>
      </c>
      <c r="G88" s="447"/>
    </row>
    <row r="89" spans="2:7" x14ac:dyDescent="0.3">
      <c r="B89" s="411">
        <v>4</v>
      </c>
      <c r="C89" s="412" t="s">
        <v>575</v>
      </c>
      <c r="D89" s="443">
        <v>0</v>
      </c>
      <c r="E89" s="422" t="s">
        <v>246</v>
      </c>
      <c r="F89" s="424">
        <v>24</v>
      </c>
      <c r="G89" s="447"/>
    </row>
    <row r="90" spans="2:7" x14ac:dyDescent="0.3">
      <c r="B90" s="411">
        <v>5</v>
      </c>
      <c r="C90" s="412" t="s">
        <v>331</v>
      </c>
      <c r="D90" s="444">
        <v>5</v>
      </c>
      <c r="E90" s="427" t="s">
        <v>246</v>
      </c>
      <c r="F90" s="424">
        <v>2</v>
      </c>
      <c r="G90" s="447"/>
    </row>
    <row r="91" spans="2:7" x14ac:dyDescent="0.3">
      <c r="B91" s="411">
        <v>6</v>
      </c>
      <c r="C91" s="412" t="s">
        <v>334</v>
      </c>
      <c r="D91" s="444">
        <v>4</v>
      </c>
      <c r="E91" s="427" t="s">
        <v>246</v>
      </c>
      <c r="F91" s="424">
        <v>3</v>
      </c>
      <c r="G91" s="447"/>
    </row>
    <row r="92" spans="2:7" x14ac:dyDescent="0.3">
      <c r="B92" s="411">
        <v>7</v>
      </c>
      <c r="C92" s="412" t="s">
        <v>337</v>
      </c>
      <c r="D92" s="443">
        <v>0</v>
      </c>
      <c r="E92" s="427" t="s">
        <v>246</v>
      </c>
      <c r="F92" s="424">
        <v>24</v>
      </c>
      <c r="G92" s="447"/>
    </row>
    <row r="93" spans="2:7" x14ac:dyDescent="0.3">
      <c r="B93" s="411">
        <v>8</v>
      </c>
      <c r="C93" s="412" t="s">
        <v>339</v>
      </c>
      <c r="D93" s="444">
        <v>3</v>
      </c>
      <c r="E93" s="427" t="s">
        <v>246</v>
      </c>
      <c r="F93" s="424">
        <v>12</v>
      </c>
      <c r="G93" s="447"/>
    </row>
    <row r="94" spans="2:7" x14ac:dyDescent="0.3">
      <c r="B94" s="411">
        <v>9</v>
      </c>
      <c r="C94" s="412" t="s">
        <v>342</v>
      </c>
      <c r="D94" s="444">
        <v>3</v>
      </c>
      <c r="E94" s="427" t="s">
        <v>246</v>
      </c>
      <c r="F94" s="424">
        <v>12</v>
      </c>
      <c r="G94" s="447"/>
    </row>
    <row r="95" spans="2:7" x14ac:dyDescent="0.3">
      <c r="B95" s="411">
        <v>10</v>
      </c>
      <c r="C95" s="412" t="s">
        <v>345</v>
      </c>
      <c r="D95" s="443">
        <v>0</v>
      </c>
      <c r="E95" s="427" t="s">
        <v>246</v>
      </c>
      <c r="F95" s="424">
        <v>24</v>
      </c>
      <c r="G95" s="447"/>
    </row>
    <row r="96" spans="2:7" x14ac:dyDescent="0.3">
      <c r="B96" s="411">
        <v>11</v>
      </c>
      <c r="C96" s="412" t="s">
        <v>348</v>
      </c>
      <c r="D96" s="443">
        <v>0</v>
      </c>
      <c r="E96" s="427" t="s">
        <v>246</v>
      </c>
      <c r="F96" s="424">
        <v>12</v>
      </c>
      <c r="G96" s="447"/>
    </row>
    <row r="97" spans="2:7" x14ac:dyDescent="0.3">
      <c r="B97" s="411">
        <v>12</v>
      </c>
      <c r="C97" s="412" t="s">
        <v>351</v>
      </c>
      <c r="D97" s="444">
        <v>2</v>
      </c>
      <c r="E97" s="427" t="s">
        <v>246</v>
      </c>
      <c r="F97" s="424">
        <v>12</v>
      </c>
      <c r="G97" s="447"/>
    </row>
    <row r="98" spans="2:7" x14ac:dyDescent="0.3">
      <c r="B98" s="411">
        <v>13</v>
      </c>
      <c r="C98" s="412" t="s">
        <v>354</v>
      </c>
      <c r="D98" s="443">
        <v>0</v>
      </c>
      <c r="E98" s="427" t="s">
        <v>246</v>
      </c>
      <c r="F98" s="424">
        <v>12</v>
      </c>
      <c r="G98" s="447"/>
    </row>
    <row r="99" spans="2:7" x14ac:dyDescent="0.3">
      <c r="B99" s="411">
        <v>14</v>
      </c>
      <c r="C99" s="412" t="s">
        <v>354</v>
      </c>
      <c r="D99" s="443">
        <v>0</v>
      </c>
      <c r="E99" s="427" t="s">
        <v>246</v>
      </c>
      <c r="F99" s="424">
        <v>12</v>
      </c>
      <c r="G99" s="447"/>
    </row>
    <row r="100" spans="2:7" x14ac:dyDescent="0.3">
      <c r="B100" s="411">
        <v>15</v>
      </c>
      <c r="C100" s="412" t="s">
        <v>354</v>
      </c>
      <c r="D100" s="443">
        <v>0</v>
      </c>
      <c r="E100" s="427" t="s">
        <v>246</v>
      </c>
      <c r="F100" s="424">
        <v>12</v>
      </c>
      <c r="G100" s="447"/>
    </row>
    <row r="101" spans="2:7" x14ac:dyDescent="0.3">
      <c r="B101" s="411">
        <v>16</v>
      </c>
      <c r="C101" s="412" t="s">
        <v>255</v>
      </c>
      <c r="D101" s="444">
        <v>5</v>
      </c>
      <c r="E101" s="427" t="s">
        <v>246</v>
      </c>
      <c r="F101" s="424">
        <v>3</v>
      </c>
      <c r="G101" s="447"/>
    </row>
    <row r="102" spans="2:7" x14ac:dyDescent="0.3">
      <c r="B102" s="411">
        <v>17</v>
      </c>
      <c r="C102" s="412" t="s">
        <v>363</v>
      </c>
      <c r="D102" s="444">
        <v>2</v>
      </c>
      <c r="E102" s="427" t="s">
        <v>246</v>
      </c>
      <c r="F102" s="424">
        <v>12</v>
      </c>
      <c r="G102" s="447"/>
    </row>
    <row r="103" spans="2:7" x14ac:dyDescent="0.3">
      <c r="B103" s="411">
        <v>18</v>
      </c>
      <c r="C103" s="412" t="s">
        <v>366</v>
      </c>
      <c r="D103" s="443">
        <v>0</v>
      </c>
      <c r="E103" s="427" t="s">
        <v>246</v>
      </c>
      <c r="F103" s="424">
        <v>12</v>
      </c>
      <c r="G103" s="447"/>
    </row>
    <row r="104" spans="2:7" x14ac:dyDescent="0.3">
      <c r="B104" s="411">
        <v>19</v>
      </c>
      <c r="C104" s="412" t="s">
        <v>369</v>
      </c>
      <c r="D104" s="443">
        <v>0</v>
      </c>
      <c r="E104" s="427" t="s">
        <v>246</v>
      </c>
      <c r="F104" s="424">
        <v>24</v>
      </c>
      <c r="G104" s="447"/>
    </row>
    <row r="105" spans="2:7" x14ac:dyDescent="0.3">
      <c r="B105" s="411">
        <v>20</v>
      </c>
      <c r="C105" s="412" t="s">
        <v>371</v>
      </c>
      <c r="D105" s="444">
        <v>2</v>
      </c>
      <c r="E105" s="427" t="s">
        <v>246</v>
      </c>
      <c r="F105" s="424">
        <v>12</v>
      </c>
      <c r="G105" s="447"/>
    </row>
    <row r="106" spans="2:7" x14ac:dyDescent="0.3">
      <c r="B106" s="411">
        <v>21</v>
      </c>
      <c r="C106" s="412" t="s">
        <v>373</v>
      </c>
      <c r="D106" s="444">
        <v>2</v>
      </c>
      <c r="E106" s="427" t="s">
        <v>246</v>
      </c>
      <c r="F106" s="424">
        <v>12</v>
      </c>
      <c r="G106" s="447"/>
    </row>
    <row r="107" spans="2:7" x14ac:dyDescent="0.3">
      <c r="B107" s="411">
        <v>22</v>
      </c>
      <c r="C107" s="412" t="s">
        <v>280</v>
      </c>
      <c r="D107" s="443">
        <v>0</v>
      </c>
      <c r="E107" s="427" t="s">
        <v>246</v>
      </c>
      <c r="F107" s="424">
        <v>24</v>
      </c>
      <c r="G107" s="447"/>
    </row>
    <row r="108" spans="2:7" x14ac:dyDescent="0.3">
      <c r="B108" s="411">
        <v>23</v>
      </c>
      <c r="C108" s="412" t="s">
        <v>376</v>
      </c>
      <c r="D108" s="444">
        <v>3</v>
      </c>
      <c r="E108" s="427" t="s">
        <v>246</v>
      </c>
      <c r="F108" s="424">
        <v>12</v>
      </c>
      <c r="G108" s="447"/>
    </row>
    <row r="109" spans="2:7" x14ac:dyDescent="0.3">
      <c r="B109" s="411">
        <v>24</v>
      </c>
      <c r="C109" s="412" t="s">
        <v>378</v>
      </c>
      <c r="D109" s="444">
        <v>5</v>
      </c>
      <c r="E109" s="427" t="s">
        <v>246</v>
      </c>
      <c r="F109" s="424">
        <v>3</v>
      </c>
      <c r="G109" s="447"/>
    </row>
    <row r="110" spans="2:7" x14ac:dyDescent="0.3">
      <c r="B110" s="411">
        <v>25</v>
      </c>
      <c r="C110" s="412" t="s">
        <v>381</v>
      </c>
      <c r="D110" s="444">
        <v>10</v>
      </c>
      <c r="E110" s="427" t="s">
        <v>246</v>
      </c>
      <c r="F110" s="424">
        <v>3</v>
      </c>
      <c r="G110" s="447"/>
    </row>
    <row r="111" spans="2:7" x14ac:dyDescent="0.3">
      <c r="B111" s="411">
        <v>26</v>
      </c>
      <c r="C111" s="412" t="s">
        <v>384</v>
      </c>
      <c r="D111" s="444">
        <v>5</v>
      </c>
      <c r="E111" s="427" t="s">
        <v>246</v>
      </c>
      <c r="F111" s="424">
        <v>3</v>
      </c>
      <c r="G111" s="447"/>
    </row>
    <row r="112" spans="2:7" x14ac:dyDescent="0.3">
      <c r="B112" s="411">
        <v>27</v>
      </c>
      <c r="C112" s="412" t="s">
        <v>576</v>
      </c>
      <c r="D112" s="443">
        <v>0</v>
      </c>
      <c r="E112" s="427" t="s">
        <v>246</v>
      </c>
      <c r="F112" s="424">
        <v>24</v>
      </c>
      <c r="G112" s="447"/>
    </row>
    <row r="113" spans="2:7" x14ac:dyDescent="0.3">
      <c r="B113" s="411">
        <v>28</v>
      </c>
      <c r="C113" s="412" t="s">
        <v>389</v>
      </c>
      <c r="D113" s="443">
        <v>0</v>
      </c>
      <c r="E113" s="427" t="s">
        <v>246</v>
      </c>
      <c r="F113" s="424">
        <v>24</v>
      </c>
      <c r="G113" s="447"/>
    </row>
    <row r="114" spans="2:7" x14ac:dyDescent="0.3">
      <c r="B114" s="411">
        <v>29</v>
      </c>
      <c r="C114" s="412" t="s">
        <v>391</v>
      </c>
      <c r="D114" s="443">
        <v>0</v>
      </c>
      <c r="E114" s="427" t="s">
        <v>246</v>
      </c>
      <c r="F114" s="424">
        <v>24</v>
      </c>
      <c r="G114" s="447"/>
    </row>
    <row r="115" spans="2:7" x14ac:dyDescent="0.3">
      <c r="B115" s="411">
        <v>30</v>
      </c>
      <c r="C115" s="412" t="s">
        <v>577</v>
      </c>
      <c r="D115" s="443">
        <v>0</v>
      </c>
      <c r="E115" s="427" t="s">
        <v>246</v>
      </c>
      <c r="F115" s="424">
        <v>24</v>
      </c>
      <c r="G115" s="447"/>
    </row>
    <row r="116" spans="2:7" x14ac:dyDescent="0.3">
      <c r="B116" s="411">
        <v>31</v>
      </c>
      <c r="C116" s="412" t="s">
        <v>578</v>
      </c>
      <c r="D116" s="443">
        <v>0</v>
      </c>
      <c r="E116" s="427" t="s">
        <v>246</v>
      </c>
      <c r="F116" s="424">
        <v>24</v>
      </c>
      <c r="G116" s="447"/>
    </row>
    <row r="117" spans="2:7" x14ac:dyDescent="0.3">
      <c r="B117" s="411">
        <v>32</v>
      </c>
      <c r="C117" s="412" t="s">
        <v>579</v>
      </c>
      <c r="D117" s="443">
        <v>0</v>
      </c>
      <c r="E117" s="427" t="s">
        <v>246</v>
      </c>
      <c r="F117" s="424">
        <v>24</v>
      </c>
      <c r="G117" s="447"/>
    </row>
    <row r="118" spans="2:7" x14ac:dyDescent="0.3">
      <c r="B118" s="411">
        <v>33</v>
      </c>
      <c r="C118" s="412" t="s">
        <v>591</v>
      </c>
      <c r="D118" s="443">
        <v>0</v>
      </c>
      <c r="E118" s="427" t="s">
        <v>246</v>
      </c>
      <c r="F118" s="424">
        <v>24</v>
      </c>
      <c r="G118" s="447"/>
    </row>
    <row r="119" spans="2:7" x14ac:dyDescent="0.3">
      <c r="B119" s="411">
        <v>34</v>
      </c>
      <c r="C119" s="412" t="s">
        <v>401</v>
      </c>
      <c r="D119" s="443">
        <v>0</v>
      </c>
      <c r="E119" s="427" t="s">
        <v>246</v>
      </c>
      <c r="F119" s="424">
        <v>24</v>
      </c>
      <c r="G119" s="447"/>
    </row>
    <row r="120" spans="2:7" x14ac:dyDescent="0.3">
      <c r="B120" s="411">
        <v>35</v>
      </c>
      <c r="C120" s="412" t="s">
        <v>403</v>
      </c>
      <c r="D120" s="443">
        <v>0</v>
      </c>
      <c r="E120" s="427" t="s">
        <v>246</v>
      </c>
      <c r="F120" s="424">
        <v>24</v>
      </c>
      <c r="G120" s="447"/>
    </row>
    <row r="121" spans="2:7" x14ac:dyDescent="0.3">
      <c r="B121" s="411">
        <v>36</v>
      </c>
      <c r="C121" s="412" t="s">
        <v>405</v>
      </c>
      <c r="D121" s="444">
        <v>4</v>
      </c>
      <c r="E121" s="427" t="s">
        <v>246</v>
      </c>
      <c r="F121" s="424">
        <v>3</v>
      </c>
      <c r="G121" s="447"/>
    </row>
    <row r="122" spans="2:7" x14ac:dyDescent="0.3">
      <c r="B122" s="411">
        <v>37</v>
      </c>
      <c r="C122" s="412" t="s">
        <v>405</v>
      </c>
      <c r="D122" s="444">
        <v>4</v>
      </c>
      <c r="E122" s="427" t="s">
        <v>246</v>
      </c>
      <c r="F122" s="424">
        <v>3</v>
      </c>
      <c r="G122" s="447"/>
    </row>
    <row r="123" spans="2:7" x14ac:dyDescent="0.3">
      <c r="B123" s="411">
        <v>38</v>
      </c>
      <c r="C123" s="412" t="s">
        <v>580</v>
      </c>
      <c r="D123" s="443">
        <v>0</v>
      </c>
      <c r="E123" s="427" t="s">
        <v>246</v>
      </c>
      <c r="F123" s="424">
        <v>24</v>
      </c>
      <c r="G123" s="447"/>
    </row>
    <row r="124" spans="2:7" x14ac:dyDescent="0.3">
      <c r="B124" s="411">
        <v>39</v>
      </c>
      <c r="C124" s="412" t="s">
        <v>581</v>
      </c>
      <c r="D124" s="443">
        <v>0</v>
      </c>
      <c r="E124" s="427" t="s">
        <v>246</v>
      </c>
      <c r="F124" s="424">
        <v>24</v>
      </c>
      <c r="G124" s="447"/>
    </row>
    <row r="125" spans="2:7" x14ac:dyDescent="0.3">
      <c r="B125" s="411">
        <v>40</v>
      </c>
      <c r="C125" s="412" t="s">
        <v>413</v>
      </c>
      <c r="D125" s="444">
        <v>4</v>
      </c>
      <c r="E125" s="427" t="s">
        <v>246</v>
      </c>
      <c r="F125" s="424">
        <v>12</v>
      </c>
      <c r="G125" s="447"/>
    </row>
    <row r="126" spans="2:7" x14ac:dyDescent="0.3">
      <c r="B126" s="411">
        <v>41</v>
      </c>
      <c r="C126" s="412" t="s">
        <v>415</v>
      </c>
      <c r="D126" s="443">
        <v>0</v>
      </c>
      <c r="E126" s="427" t="s">
        <v>246</v>
      </c>
      <c r="F126" s="424">
        <v>24</v>
      </c>
      <c r="G126" s="447"/>
    </row>
    <row r="127" spans="2:7" x14ac:dyDescent="0.3">
      <c r="B127" s="411">
        <v>42</v>
      </c>
      <c r="C127" s="412" t="s">
        <v>582</v>
      </c>
      <c r="D127" s="443">
        <v>0</v>
      </c>
      <c r="E127" s="427" t="s">
        <v>246</v>
      </c>
      <c r="F127" s="424">
        <v>24</v>
      </c>
      <c r="G127" s="447"/>
    </row>
    <row r="128" spans="2:7" x14ac:dyDescent="0.3">
      <c r="B128" s="411">
        <v>43</v>
      </c>
      <c r="C128" s="412" t="s">
        <v>583</v>
      </c>
      <c r="D128" s="443">
        <v>0</v>
      </c>
      <c r="E128" s="427" t="s">
        <v>246</v>
      </c>
      <c r="F128" s="424">
        <v>24</v>
      </c>
      <c r="G128" s="447"/>
    </row>
    <row r="129" spans="2:7" x14ac:dyDescent="0.3">
      <c r="B129" s="411">
        <v>44</v>
      </c>
      <c r="C129" s="412" t="s">
        <v>584</v>
      </c>
      <c r="D129" s="443">
        <v>0</v>
      </c>
      <c r="E129" s="427" t="s">
        <v>246</v>
      </c>
      <c r="F129" s="424">
        <v>24</v>
      </c>
      <c r="G129" s="447"/>
    </row>
    <row r="130" spans="2:7" x14ac:dyDescent="0.3">
      <c r="B130" s="411">
        <v>45</v>
      </c>
      <c r="C130" s="412" t="s">
        <v>585</v>
      </c>
      <c r="D130" s="443">
        <v>0</v>
      </c>
      <c r="E130" s="427" t="s">
        <v>246</v>
      </c>
      <c r="F130" s="424">
        <v>24</v>
      </c>
      <c r="G130" s="447"/>
    </row>
    <row r="131" spans="2:7" x14ac:dyDescent="0.3">
      <c r="B131" s="411">
        <v>46</v>
      </c>
      <c r="C131" s="412" t="s">
        <v>425</v>
      </c>
      <c r="D131" s="443">
        <v>0</v>
      </c>
      <c r="E131" s="427" t="s">
        <v>246</v>
      </c>
      <c r="F131" s="424">
        <v>24</v>
      </c>
      <c r="G131" s="447"/>
    </row>
    <row r="132" spans="2:7" x14ac:dyDescent="0.3">
      <c r="B132" s="411">
        <v>47</v>
      </c>
      <c r="C132" s="412" t="s">
        <v>427</v>
      </c>
      <c r="D132" s="444">
        <v>1</v>
      </c>
      <c r="E132" s="427" t="s">
        <v>246</v>
      </c>
      <c r="F132" s="424">
        <v>12</v>
      </c>
      <c r="G132" s="447"/>
    </row>
    <row r="133" spans="2:7" x14ac:dyDescent="0.3">
      <c r="B133" s="411">
        <v>48</v>
      </c>
      <c r="C133" s="412" t="s">
        <v>586</v>
      </c>
      <c r="D133" s="444">
        <v>2</v>
      </c>
      <c r="E133" s="427" t="s">
        <v>246</v>
      </c>
      <c r="F133" s="424">
        <v>12</v>
      </c>
      <c r="G133" s="447"/>
    </row>
    <row r="134" spans="2:7" x14ac:dyDescent="0.3">
      <c r="B134" s="411">
        <v>49</v>
      </c>
      <c r="C134" s="412" t="s">
        <v>587</v>
      </c>
      <c r="D134" s="443">
        <v>0</v>
      </c>
      <c r="E134" s="427" t="s">
        <v>246</v>
      </c>
      <c r="F134" s="424">
        <v>24</v>
      </c>
      <c r="G134" s="447"/>
    </row>
    <row r="135" spans="2:7" x14ac:dyDescent="0.3">
      <c r="B135" s="411">
        <v>50</v>
      </c>
      <c r="C135" s="412" t="s">
        <v>588</v>
      </c>
      <c r="D135" s="443">
        <v>0</v>
      </c>
      <c r="E135" s="427" t="s">
        <v>246</v>
      </c>
      <c r="F135" s="424">
        <v>12</v>
      </c>
      <c r="G135" s="447"/>
    </row>
    <row r="136" spans="2:7" x14ac:dyDescent="0.3">
      <c r="B136" s="411">
        <v>51</v>
      </c>
      <c r="C136" s="412" t="s">
        <v>438</v>
      </c>
      <c r="D136" s="444">
        <v>1</v>
      </c>
      <c r="E136" s="427" t="s">
        <v>246</v>
      </c>
      <c r="F136" s="424">
        <v>12</v>
      </c>
      <c r="G136" s="447"/>
    </row>
    <row r="137" spans="2:7" x14ac:dyDescent="0.3">
      <c r="B137" s="411">
        <v>52</v>
      </c>
      <c r="C137" s="412" t="s">
        <v>441</v>
      </c>
      <c r="D137" s="444">
        <v>4</v>
      </c>
      <c r="E137" s="427" t="s">
        <v>246</v>
      </c>
      <c r="F137" s="424">
        <v>6</v>
      </c>
      <c r="G137" s="447"/>
    </row>
    <row r="138" spans="2:7" x14ac:dyDescent="0.3">
      <c r="B138" s="411">
        <v>53</v>
      </c>
      <c r="C138" s="412" t="s">
        <v>589</v>
      </c>
      <c r="D138" s="444">
        <v>2</v>
      </c>
      <c r="E138" s="427" t="s">
        <v>246</v>
      </c>
      <c r="F138" s="424">
        <v>12</v>
      </c>
      <c r="G138" s="447"/>
    </row>
    <row r="139" spans="2:7" x14ac:dyDescent="0.3">
      <c r="B139" s="411">
        <v>54</v>
      </c>
      <c r="C139" s="412" t="s">
        <v>590</v>
      </c>
      <c r="D139" s="444">
        <v>1</v>
      </c>
      <c r="E139" s="427" t="s">
        <v>246</v>
      </c>
      <c r="F139" s="424">
        <v>12</v>
      </c>
      <c r="G139" s="447"/>
    </row>
    <row r="140" spans="2:7" x14ac:dyDescent="0.3">
      <c r="B140" s="411">
        <v>55</v>
      </c>
      <c r="C140" s="412" t="s">
        <v>448</v>
      </c>
      <c r="D140" s="444">
        <v>2</v>
      </c>
      <c r="E140" s="427" t="s">
        <v>295</v>
      </c>
      <c r="F140" s="424">
        <v>6</v>
      </c>
      <c r="G140" s="447"/>
    </row>
    <row r="141" spans="2:7" x14ac:dyDescent="0.3">
      <c r="B141" s="411">
        <v>56</v>
      </c>
      <c r="C141" s="412" t="s">
        <v>449</v>
      </c>
      <c r="D141" s="444">
        <v>20</v>
      </c>
      <c r="E141" s="427" t="s">
        <v>450</v>
      </c>
      <c r="F141" s="424">
        <v>12</v>
      </c>
      <c r="G141" s="447"/>
    </row>
    <row r="142" spans="2:7" hidden="1" x14ac:dyDescent="0.3">
      <c r="B142" s="579" t="s">
        <v>553</v>
      </c>
      <c r="C142" s="580"/>
      <c r="D142" s="580"/>
      <c r="E142" s="580"/>
      <c r="F142" s="580"/>
    </row>
    <row r="144" spans="2:7" x14ac:dyDescent="0.3">
      <c r="B144" s="581" t="s">
        <v>592</v>
      </c>
      <c r="C144" s="582"/>
      <c r="D144" s="582"/>
      <c r="E144" s="582"/>
      <c r="F144" s="583"/>
      <c r="G144" s="447"/>
    </row>
    <row r="145" spans="2:7" ht="15" thickBot="1" x14ac:dyDescent="0.35">
      <c r="B145" s="409" t="s">
        <v>45</v>
      </c>
      <c r="C145" s="409" t="s">
        <v>546</v>
      </c>
      <c r="D145" s="584" t="s">
        <v>547</v>
      </c>
      <c r="E145" s="584"/>
      <c r="F145" s="409" t="s">
        <v>550</v>
      </c>
      <c r="G145" s="447"/>
    </row>
    <row r="146" spans="2:7" ht="15" thickTop="1" x14ac:dyDescent="0.3">
      <c r="B146" s="411">
        <v>1</v>
      </c>
      <c r="C146" s="412" t="s">
        <v>453</v>
      </c>
      <c r="D146" s="441">
        <v>1</v>
      </c>
      <c r="E146" s="414" t="s">
        <v>243</v>
      </c>
      <c r="F146" s="417">
        <v>12</v>
      </c>
      <c r="G146" s="447"/>
    </row>
    <row r="147" spans="2:7" x14ac:dyDescent="0.3">
      <c r="B147" s="411">
        <v>2</v>
      </c>
      <c r="C147" s="412" t="s">
        <v>455</v>
      </c>
      <c r="D147" s="442">
        <v>0</v>
      </c>
      <c r="E147" s="414" t="s">
        <v>246</v>
      </c>
      <c r="F147" s="417">
        <v>12</v>
      </c>
      <c r="G147" s="447"/>
    </row>
    <row r="148" spans="2:7" x14ac:dyDescent="0.3">
      <c r="B148" s="411">
        <v>3</v>
      </c>
      <c r="C148" s="412" t="s">
        <v>456</v>
      </c>
      <c r="D148" s="442">
        <v>2</v>
      </c>
      <c r="E148" s="414" t="s">
        <v>246</v>
      </c>
      <c r="F148" s="417">
        <v>12</v>
      </c>
      <c r="G148" s="447"/>
    </row>
    <row r="149" spans="2:7" x14ac:dyDescent="0.3">
      <c r="B149" s="411">
        <v>4</v>
      </c>
      <c r="C149" s="412" t="s">
        <v>458</v>
      </c>
      <c r="D149" s="443">
        <v>1</v>
      </c>
      <c r="E149" s="422" t="s">
        <v>246</v>
      </c>
      <c r="F149" s="424">
        <v>12</v>
      </c>
      <c r="G149" s="447"/>
    </row>
    <row r="150" spans="2:7" x14ac:dyDescent="0.3">
      <c r="B150" s="411">
        <v>5</v>
      </c>
      <c r="C150" s="412" t="s">
        <v>460</v>
      </c>
      <c r="D150" s="444">
        <v>2</v>
      </c>
      <c r="E150" s="427" t="s">
        <v>246</v>
      </c>
      <c r="F150" s="424">
        <v>12</v>
      </c>
      <c r="G150" s="447"/>
    </row>
    <row r="151" spans="2:7" x14ac:dyDescent="0.3">
      <c r="B151" s="411">
        <v>6</v>
      </c>
      <c r="C151" s="412" t="s">
        <v>461</v>
      </c>
      <c r="D151" s="444">
        <v>1</v>
      </c>
      <c r="E151" s="427" t="s">
        <v>246</v>
      </c>
      <c r="F151" s="424">
        <v>12</v>
      </c>
      <c r="G151" s="447"/>
    </row>
    <row r="152" spans="2:7" x14ac:dyDescent="0.3">
      <c r="B152" s="411">
        <v>7</v>
      </c>
      <c r="C152" s="412" t="s">
        <v>462</v>
      </c>
      <c r="D152" s="444">
        <v>2</v>
      </c>
      <c r="E152" s="427" t="s">
        <v>246</v>
      </c>
      <c r="F152" s="424">
        <v>12</v>
      </c>
      <c r="G152" s="447"/>
    </row>
    <row r="153" spans="2:7" x14ac:dyDescent="0.3">
      <c r="B153" s="411">
        <v>8</v>
      </c>
      <c r="C153" s="412" t="s">
        <v>302</v>
      </c>
      <c r="D153" s="444">
        <v>1</v>
      </c>
      <c r="E153" s="427" t="s">
        <v>246</v>
      </c>
      <c r="F153" s="424">
        <v>12</v>
      </c>
      <c r="G153" s="447"/>
    </row>
    <row r="154" spans="2:7" x14ac:dyDescent="0.3">
      <c r="B154" s="411">
        <v>9</v>
      </c>
      <c r="C154" s="412" t="s">
        <v>409</v>
      </c>
      <c r="D154" s="444">
        <v>2</v>
      </c>
      <c r="E154" s="427" t="s">
        <v>295</v>
      </c>
      <c r="F154" s="424">
        <v>12</v>
      </c>
      <c r="G154" s="447"/>
    </row>
    <row r="155" spans="2:7" x14ac:dyDescent="0.3">
      <c r="B155" s="411">
        <v>10</v>
      </c>
      <c r="C155" s="412" t="s">
        <v>411</v>
      </c>
      <c r="D155" s="444">
        <v>2</v>
      </c>
      <c r="E155" s="427" t="s">
        <v>295</v>
      </c>
      <c r="F155" s="424">
        <v>12</v>
      </c>
      <c r="G155" s="447"/>
    </row>
    <row r="156" spans="2:7" x14ac:dyDescent="0.3">
      <c r="B156" s="411">
        <v>11</v>
      </c>
      <c r="C156" s="412" t="s">
        <v>464</v>
      </c>
      <c r="D156" s="444">
        <v>2</v>
      </c>
      <c r="E156" s="427" t="s">
        <v>246</v>
      </c>
      <c r="F156" s="424">
        <v>1</v>
      </c>
      <c r="G156" s="447"/>
    </row>
    <row r="157" spans="2:7" x14ac:dyDescent="0.3">
      <c r="B157" s="411">
        <v>12</v>
      </c>
      <c r="C157" s="412" t="s">
        <v>317</v>
      </c>
      <c r="D157" s="444">
        <v>3</v>
      </c>
      <c r="E157" s="427" t="s">
        <v>246</v>
      </c>
      <c r="F157" s="424">
        <v>6</v>
      </c>
      <c r="G157" s="447"/>
    </row>
    <row r="158" spans="2:7" x14ac:dyDescent="0.3">
      <c r="B158" s="411">
        <v>13</v>
      </c>
      <c r="C158" s="412" t="s">
        <v>465</v>
      </c>
      <c r="D158" s="444">
        <v>2</v>
      </c>
      <c r="E158" s="427" t="s">
        <v>246</v>
      </c>
      <c r="F158" s="424">
        <v>1</v>
      </c>
      <c r="G158" s="447"/>
    </row>
    <row r="159" spans="2:7" x14ac:dyDescent="0.3">
      <c r="B159" s="411">
        <v>14</v>
      </c>
      <c r="C159" s="412" t="s">
        <v>466</v>
      </c>
      <c r="D159" s="444">
        <v>3</v>
      </c>
      <c r="E159" s="427" t="s">
        <v>295</v>
      </c>
      <c r="F159" s="424">
        <v>2</v>
      </c>
      <c r="G159" s="447"/>
    </row>
    <row r="160" spans="2:7" hidden="1" x14ac:dyDescent="0.3">
      <c r="B160" s="579" t="s">
        <v>553</v>
      </c>
      <c r="C160" s="580"/>
      <c r="D160" s="580"/>
      <c r="E160" s="580"/>
      <c r="F160" s="580"/>
    </row>
  </sheetData>
  <mergeCells count="18">
    <mergeCell ref="B7:F7"/>
    <mergeCell ref="B8:F8"/>
    <mergeCell ref="B9:C9"/>
    <mergeCell ref="D9:F9"/>
    <mergeCell ref="B10:C10"/>
    <mergeCell ref="D10:F10"/>
    <mergeCell ref="B160:F160"/>
    <mergeCell ref="B12:F12"/>
    <mergeCell ref="D13:E13"/>
    <mergeCell ref="B20:F20"/>
    <mergeCell ref="B22:F22"/>
    <mergeCell ref="D23:E23"/>
    <mergeCell ref="B82:F82"/>
    <mergeCell ref="B84:F84"/>
    <mergeCell ref="D85:E85"/>
    <mergeCell ref="B142:F142"/>
    <mergeCell ref="B144:F144"/>
    <mergeCell ref="D145:E1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3" fitToWidth="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2E18-18D3-413D-AAA9-E06FED613407}">
  <dimension ref="B5:G51"/>
  <sheetViews>
    <sheetView showGridLines="0" topLeftCell="A33" zoomScaleNormal="100" workbookViewId="0">
      <selection activeCell="E8" sqref="E8:H8"/>
    </sheetView>
  </sheetViews>
  <sheetFormatPr defaultColWidth="9.21875" defaultRowHeight="14.4" x14ac:dyDescent="0.3"/>
  <cols>
    <col min="1" max="1" width="6.44140625" style="160" bestFit="1" customWidth="1"/>
    <col min="2" max="2" width="6.5546875" style="160" customWidth="1"/>
    <col min="3" max="3" width="25.6640625" style="160" bestFit="1" customWidth="1"/>
    <col min="4" max="4" width="18.6640625" style="160" bestFit="1" customWidth="1"/>
    <col min="5" max="5" width="26.77734375" style="160" bestFit="1" customWidth="1"/>
    <col min="6" max="6" width="10.77734375" style="160" bestFit="1" customWidth="1"/>
    <col min="7" max="7" width="11.21875" style="38" customWidth="1"/>
    <col min="8" max="8" width="16.44140625" style="160" customWidth="1"/>
    <col min="9" max="9" width="15.44140625" style="160" bestFit="1" customWidth="1"/>
    <col min="10" max="10" width="13.21875" style="160" customWidth="1"/>
    <col min="11" max="11" width="11.5546875" style="160" customWidth="1"/>
    <col min="12" max="255" width="9.21875" style="160"/>
    <col min="256" max="256" width="3.5546875" style="160" customWidth="1"/>
    <col min="257" max="257" width="6.5546875" style="160" customWidth="1"/>
    <col min="258" max="258" width="17.77734375" style="160" customWidth="1"/>
    <col min="259" max="259" width="4.5546875" style="160" customWidth="1"/>
    <col min="260" max="260" width="8.5546875" style="160" customWidth="1"/>
    <col min="261" max="261" width="22.21875" style="160" customWidth="1"/>
    <col min="262" max="262" width="45.5546875" style="160" customWidth="1"/>
    <col min="263" max="263" width="4.5546875" style="160" customWidth="1"/>
    <col min="264" max="264" width="46.5546875" style="160" bestFit="1" customWidth="1"/>
    <col min="265" max="265" width="13.77734375" style="160" bestFit="1" customWidth="1"/>
    <col min="266" max="267" width="10.5546875" style="160" bestFit="1" customWidth="1"/>
    <col min="268" max="511" width="9.21875" style="160"/>
    <col min="512" max="512" width="3.5546875" style="160" customWidth="1"/>
    <col min="513" max="513" width="6.5546875" style="160" customWidth="1"/>
    <col min="514" max="514" width="17.77734375" style="160" customWidth="1"/>
    <col min="515" max="515" width="4.5546875" style="160" customWidth="1"/>
    <col min="516" max="516" width="8.5546875" style="160" customWidth="1"/>
    <col min="517" max="517" width="22.21875" style="160" customWidth="1"/>
    <col min="518" max="518" width="45.5546875" style="160" customWidth="1"/>
    <col min="519" max="519" width="4.5546875" style="160" customWidth="1"/>
    <col min="520" max="520" width="46.5546875" style="160" bestFit="1" customWidth="1"/>
    <col min="521" max="521" width="13.77734375" style="160" bestFit="1" customWidth="1"/>
    <col min="522" max="523" width="10.5546875" style="160" bestFit="1" customWidth="1"/>
    <col min="524" max="767" width="9.21875" style="160"/>
    <col min="768" max="768" width="3.5546875" style="160" customWidth="1"/>
    <col min="769" max="769" width="6.5546875" style="160" customWidth="1"/>
    <col min="770" max="770" width="17.77734375" style="160" customWidth="1"/>
    <col min="771" max="771" width="4.5546875" style="160" customWidth="1"/>
    <col min="772" max="772" width="8.5546875" style="160" customWidth="1"/>
    <col min="773" max="773" width="22.21875" style="160" customWidth="1"/>
    <col min="774" max="774" width="45.5546875" style="160" customWidth="1"/>
    <col min="775" max="775" width="4.5546875" style="160" customWidth="1"/>
    <col min="776" max="776" width="46.5546875" style="160" bestFit="1" customWidth="1"/>
    <col min="777" max="777" width="13.77734375" style="160" bestFit="1" customWidth="1"/>
    <col min="778" max="779" width="10.5546875" style="160" bestFit="1" customWidth="1"/>
    <col min="780" max="1023" width="9.21875" style="160"/>
    <col min="1024" max="1024" width="3.5546875" style="160" customWidth="1"/>
    <col min="1025" max="1025" width="6.5546875" style="160" customWidth="1"/>
    <col min="1026" max="1026" width="17.77734375" style="160" customWidth="1"/>
    <col min="1027" max="1027" width="4.5546875" style="160" customWidth="1"/>
    <col min="1028" max="1028" width="8.5546875" style="160" customWidth="1"/>
    <col min="1029" max="1029" width="22.21875" style="160" customWidth="1"/>
    <col min="1030" max="1030" width="45.5546875" style="160" customWidth="1"/>
    <col min="1031" max="1031" width="4.5546875" style="160" customWidth="1"/>
    <col min="1032" max="1032" width="46.5546875" style="160" bestFit="1" customWidth="1"/>
    <col min="1033" max="1033" width="13.77734375" style="160" bestFit="1" customWidth="1"/>
    <col min="1034" max="1035" width="10.5546875" style="160" bestFit="1" customWidth="1"/>
    <col min="1036" max="1279" width="9.21875" style="160"/>
    <col min="1280" max="1280" width="3.5546875" style="160" customWidth="1"/>
    <col min="1281" max="1281" width="6.5546875" style="160" customWidth="1"/>
    <col min="1282" max="1282" width="17.77734375" style="160" customWidth="1"/>
    <col min="1283" max="1283" width="4.5546875" style="160" customWidth="1"/>
    <col min="1284" max="1284" width="8.5546875" style="160" customWidth="1"/>
    <col min="1285" max="1285" width="22.21875" style="160" customWidth="1"/>
    <col min="1286" max="1286" width="45.5546875" style="160" customWidth="1"/>
    <col min="1287" max="1287" width="4.5546875" style="160" customWidth="1"/>
    <col min="1288" max="1288" width="46.5546875" style="160" bestFit="1" customWidth="1"/>
    <col min="1289" max="1289" width="13.77734375" style="160" bestFit="1" customWidth="1"/>
    <col min="1290" max="1291" width="10.5546875" style="160" bestFit="1" customWidth="1"/>
    <col min="1292" max="1535" width="9.21875" style="160"/>
    <col min="1536" max="1536" width="3.5546875" style="160" customWidth="1"/>
    <col min="1537" max="1537" width="6.5546875" style="160" customWidth="1"/>
    <col min="1538" max="1538" width="17.77734375" style="160" customWidth="1"/>
    <col min="1539" max="1539" width="4.5546875" style="160" customWidth="1"/>
    <col min="1540" max="1540" width="8.5546875" style="160" customWidth="1"/>
    <col min="1541" max="1541" width="22.21875" style="160" customWidth="1"/>
    <col min="1542" max="1542" width="45.5546875" style="160" customWidth="1"/>
    <col min="1543" max="1543" width="4.5546875" style="160" customWidth="1"/>
    <col min="1544" max="1544" width="46.5546875" style="160" bestFit="1" customWidth="1"/>
    <col min="1545" max="1545" width="13.77734375" style="160" bestFit="1" customWidth="1"/>
    <col min="1546" max="1547" width="10.5546875" style="160" bestFit="1" customWidth="1"/>
    <col min="1548" max="1791" width="9.21875" style="160"/>
    <col min="1792" max="1792" width="3.5546875" style="160" customWidth="1"/>
    <col min="1793" max="1793" width="6.5546875" style="160" customWidth="1"/>
    <col min="1794" max="1794" width="17.77734375" style="160" customWidth="1"/>
    <col min="1795" max="1795" width="4.5546875" style="160" customWidth="1"/>
    <col min="1796" max="1796" width="8.5546875" style="160" customWidth="1"/>
    <col min="1797" max="1797" width="22.21875" style="160" customWidth="1"/>
    <col min="1798" max="1798" width="45.5546875" style="160" customWidth="1"/>
    <col min="1799" max="1799" width="4.5546875" style="160" customWidth="1"/>
    <col min="1800" max="1800" width="46.5546875" style="160" bestFit="1" customWidth="1"/>
    <col min="1801" max="1801" width="13.77734375" style="160" bestFit="1" customWidth="1"/>
    <col min="1802" max="1803" width="10.5546875" style="160" bestFit="1" customWidth="1"/>
    <col min="1804" max="2047" width="9.21875" style="160"/>
    <col min="2048" max="2048" width="3.5546875" style="160" customWidth="1"/>
    <col min="2049" max="2049" width="6.5546875" style="160" customWidth="1"/>
    <col min="2050" max="2050" width="17.77734375" style="160" customWidth="1"/>
    <col min="2051" max="2051" width="4.5546875" style="160" customWidth="1"/>
    <col min="2052" max="2052" width="8.5546875" style="160" customWidth="1"/>
    <col min="2053" max="2053" width="22.21875" style="160" customWidth="1"/>
    <col min="2054" max="2054" width="45.5546875" style="160" customWidth="1"/>
    <col min="2055" max="2055" width="4.5546875" style="160" customWidth="1"/>
    <col min="2056" max="2056" width="46.5546875" style="160" bestFit="1" customWidth="1"/>
    <col min="2057" max="2057" width="13.77734375" style="160" bestFit="1" customWidth="1"/>
    <col min="2058" max="2059" width="10.5546875" style="160" bestFit="1" customWidth="1"/>
    <col min="2060" max="2303" width="9.21875" style="160"/>
    <col min="2304" max="2304" width="3.5546875" style="160" customWidth="1"/>
    <col min="2305" max="2305" width="6.5546875" style="160" customWidth="1"/>
    <col min="2306" max="2306" width="17.77734375" style="160" customWidth="1"/>
    <col min="2307" max="2307" width="4.5546875" style="160" customWidth="1"/>
    <col min="2308" max="2308" width="8.5546875" style="160" customWidth="1"/>
    <col min="2309" max="2309" width="22.21875" style="160" customWidth="1"/>
    <col min="2310" max="2310" width="45.5546875" style="160" customWidth="1"/>
    <col min="2311" max="2311" width="4.5546875" style="160" customWidth="1"/>
    <col min="2312" max="2312" width="46.5546875" style="160" bestFit="1" customWidth="1"/>
    <col min="2313" max="2313" width="13.77734375" style="160" bestFit="1" customWidth="1"/>
    <col min="2314" max="2315" width="10.5546875" style="160" bestFit="1" customWidth="1"/>
    <col min="2316" max="2559" width="9.21875" style="160"/>
    <col min="2560" max="2560" width="3.5546875" style="160" customWidth="1"/>
    <col min="2561" max="2561" width="6.5546875" style="160" customWidth="1"/>
    <col min="2562" max="2562" width="17.77734375" style="160" customWidth="1"/>
    <col min="2563" max="2563" width="4.5546875" style="160" customWidth="1"/>
    <col min="2564" max="2564" width="8.5546875" style="160" customWidth="1"/>
    <col min="2565" max="2565" width="22.21875" style="160" customWidth="1"/>
    <col min="2566" max="2566" width="45.5546875" style="160" customWidth="1"/>
    <col min="2567" max="2567" width="4.5546875" style="160" customWidth="1"/>
    <col min="2568" max="2568" width="46.5546875" style="160" bestFit="1" customWidth="1"/>
    <col min="2569" max="2569" width="13.77734375" style="160" bestFit="1" customWidth="1"/>
    <col min="2570" max="2571" width="10.5546875" style="160" bestFit="1" customWidth="1"/>
    <col min="2572" max="2815" width="9.21875" style="160"/>
    <col min="2816" max="2816" width="3.5546875" style="160" customWidth="1"/>
    <col min="2817" max="2817" width="6.5546875" style="160" customWidth="1"/>
    <col min="2818" max="2818" width="17.77734375" style="160" customWidth="1"/>
    <col min="2819" max="2819" width="4.5546875" style="160" customWidth="1"/>
    <col min="2820" max="2820" width="8.5546875" style="160" customWidth="1"/>
    <col min="2821" max="2821" width="22.21875" style="160" customWidth="1"/>
    <col min="2822" max="2822" width="45.5546875" style="160" customWidth="1"/>
    <col min="2823" max="2823" width="4.5546875" style="160" customWidth="1"/>
    <col min="2824" max="2824" width="46.5546875" style="160" bestFit="1" customWidth="1"/>
    <col min="2825" max="2825" width="13.77734375" style="160" bestFit="1" customWidth="1"/>
    <col min="2826" max="2827" width="10.5546875" style="160" bestFit="1" customWidth="1"/>
    <col min="2828" max="3071" width="9.21875" style="160"/>
    <col min="3072" max="3072" width="3.5546875" style="160" customWidth="1"/>
    <col min="3073" max="3073" width="6.5546875" style="160" customWidth="1"/>
    <col min="3074" max="3074" width="17.77734375" style="160" customWidth="1"/>
    <col min="3075" max="3075" width="4.5546875" style="160" customWidth="1"/>
    <col min="3076" max="3076" width="8.5546875" style="160" customWidth="1"/>
    <col min="3077" max="3077" width="22.21875" style="160" customWidth="1"/>
    <col min="3078" max="3078" width="45.5546875" style="160" customWidth="1"/>
    <col min="3079" max="3079" width="4.5546875" style="160" customWidth="1"/>
    <col min="3080" max="3080" width="46.5546875" style="160" bestFit="1" customWidth="1"/>
    <col min="3081" max="3081" width="13.77734375" style="160" bestFit="1" customWidth="1"/>
    <col min="3082" max="3083" width="10.5546875" style="160" bestFit="1" customWidth="1"/>
    <col min="3084" max="3327" width="9.21875" style="160"/>
    <col min="3328" max="3328" width="3.5546875" style="160" customWidth="1"/>
    <col min="3329" max="3329" width="6.5546875" style="160" customWidth="1"/>
    <col min="3330" max="3330" width="17.77734375" style="160" customWidth="1"/>
    <col min="3331" max="3331" width="4.5546875" style="160" customWidth="1"/>
    <col min="3332" max="3332" width="8.5546875" style="160" customWidth="1"/>
    <col min="3333" max="3333" width="22.21875" style="160" customWidth="1"/>
    <col min="3334" max="3334" width="45.5546875" style="160" customWidth="1"/>
    <col min="3335" max="3335" width="4.5546875" style="160" customWidth="1"/>
    <col min="3336" max="3336" width="46.5546875" style="160" bestFit="1" customWidth="1"/>
    <col min="3337" max="3337" width="13.77734375" style="160" bestFit="1" customWidth="1"/>
    <col min="3338" max="3339" width="10.5546875" style="160" bestFit="1" customWidth="1"/>
    <col min="3340" max="3583" width="9.21875" style="160"/>
    <col min="3584" max="3584" width="3.5546875" style="160" customWidth="1"/>
    <col min="3585" max="3585" width="6.5546875" style="160" customWidth="1"/>
    <col min="3586" max="3586" width="17.77734375" style="160" customWidth="1"/>
    <col min="3587" max="3587" width="4.5546875" style="160" customWidth="1"/>
    <col min="3588" max="3588" width="8.5546875" style="160" customWidth="1"/>
    <col min="3589" max="3589" width="22.21875" style="160" customWidth="1"/>
    <col min="3590" max="3590" width="45.5546875" style="160" customWidth="1"/>
    <col min="3591" max="3591" width="4.5546875" style="160" customWidth="1"/>
    <col min="3592" max="3592" width="46.5546875" style="160" bestFit="1" customWidth="1"/>
    <col min="3593" max="3593" width="13.77734375" style="160" bestFit="1" customWidth="1"/>
    <col min="3594" max="3595" width="10.5546875" style="160" bestFit="1" customWidth="1"/>
    <col min="3596" max="3839" width="9.21875" style="160"/>
    <col min="3840" max="3840" width="3.5546875" style="160" customWidth="1"/>
    <col min="3841" max="3841" width="6.5546875" style="160" customWidth="1"/>
    <col min="3842" max="3842" width="17.77734375" style="160" customWidth="1"/>
    <col min="3843" max="3843" width="4.5546875" style="160" customWidth="1"/>
    <col min="3844" max="3844" width="8.5546875" style="160" customWidth="1"/>
    <col min="3845" max="3845" width="22.21875" style="160" customWidth="1"/>
    <col min="3846" max="3846" width="45.5546875" style="160" customWidth="1"/>
    <col min="3847" max="3847" width="4.5546875" style="160" customWidth="1"/>
    <col min="3848" max="3848" width="46.5546875" style="160" bestFit="1" customWidth="1"/>
    <col min="3849" max="3849" width="13.77734375" style="160" bestFit="1" customWidth="1"/>
    <col min="3850" max="3851" width="10.5546875" style="160" bestFit="1" customWidth="1"/>
    <col min="3852" max="4095" width="9.21875" style="160"/>
    <col min="4096" max="4096" width="3.5546875" style="160" customWidth="1"/>
    <col min="4097" max="4097" width="6.5546875" style="160" customWidth="1"/>
    <col min="4098" max="4098" width="17.77734375" style="160" customWidth="1"/>
    <col min="4099" max="4099" width="4.5546875" style="160" customWidth="1"/>
    <col min="4100" max="4100" width="8.5546875" style="160" customWidth="1"/>
    <col min="4101" max="4101" width="22.21875" style="160" customWidth="1"/>
    <col min="4102" max="4102" width="45.5546875" style="160" customWidth="1"/>
    <col min="4103" max="4103" width="4.5546875" style="160" customWidth="1"/>
    <col min="4104" max="4104" width="46.5546875" style="160" bestFit="1" customWidth="1"/>
    <col min="4105" max="4105" width="13.77734375" style="160" bestFit="1" customWidth="1"/>
    <col min="4106" max="4107" width="10.5546875" style="160" bestFit="1" customWidth="1"/>
    <col min="4108" max="4351" width="9.21875" style="160"/>
    <col min="4352" max="4352" width="3.5546875" style="160" customWidth="1"/>
    <col min="4353" max="4353" width="6.5546875" style="160" customWidth="1"/>
    <col min="4354" max="4354" width="17.77734375" style="160" customWidth="1"/>
    <col min="4355" max="4355" width="4.5546875" style="160" customWidth="1"/>
    <col min="4356" max="4356" width="8.5546875" style="160" customWidth="1"/>
    <col min="4357" max="4357" width="22.21875" style="160" customWidth="1"/>
    <col min="4358" max="4358" width="45.5546875" style="160" customWidth="1"/>
    <col min="4359" max="4359" width="4.5546875" style="160" customWidth="1"/>
    <col min="4360" max="4360" width="46.5546875" style="160" bestFit="1" customWidth="1"/>
    <col min="4361" max="4361" width="13.77734375" style="160" bestFit="1" customWidth="1"/>
    <col min="4362" max="4363" width="10.5546875" style="160" bestFit="1" customWidth="1"/>
    <col min="4364" max="4607" width="9.21875" style="160"/>
    <col min="4608" max="4608" width="3.5546875" style="160" customWidth="1"/>
    <col min="4609" max="4609" width="6.5546875" style="160" customWidth="1"/>
    <col min="4610" max="4610" width="17.77734375" style="160" customWidth="1"/>
    <col min="4611" max="4611" width="4.5546875" style="160" customWidth="1"/>
    <col min="4612" max="4612" width="8.5546875" style="160" customWidth="1"/>
    <col min="4613" max="4613" width="22.21875" style="160" customWidth="1"/>
    <col min="4614" max="4614" width="45.5546875" style="160" customWidth="1"/>
    <col min="4615" max="4615" width="4.5546875" style="160" customWidth="1"/>
    <col min="4616" max="4616" width="46.5546875" style="160" bestFit="1" customWidth="1"/>
    <col min="4617" max="4617" width="13.77734375" style="160" bestFit="1" customWidth="1"/>
    <col min="4618" max="4619" width="10.5546875" style="160" bestFit="1" customWidth="1"/>
    <col min="4620" max="4863" width="9.21875" style="160"/>
    <col min="4864" max="4864" width="3.5546875" style="160" customWidth="1"/>
    <col min="4865" max="4865" width="6.5546875" style="160" customWidth="1"/>
    <col min="4866" max="4866" width="17.77734375" style="160" customWidth="1"/>
    <col min="4867" max="4867" width="4.5546875" style="160" customWidth="1"/>
    <col min="4868" max="4868" width="8.5546875" style="160" customWidth="1"/>
    <col min="4869" max="4869" width="22.21875" style="160" customWidth="1"/>
    <col min="4870" max="4870" width="45.5546875" style="160" customWidth="1"/>
    <col min="4871" max="4871" width="4.5546875" style="160" customWidth="1"/>
    <col min="4872" max="4872" width="46.5546875" style="160" bestFit="1" customWidth="1"/>
    <col min="4873" max="4873" width="13.77734375" style="160" bestFit="1" customWidth="1"/>
    <col min="4874" max="4875" width="10.5546875" style="160" bestFit="1" customWidth="1"/>
    <col min="4876" max="5119" width="9.21875" style="160"/>
    <col min="5120" max="5120" width="3.5546875" style="160" customWidth="1"/>
    <col min="5121" max="5121" width="6.5546875" style="160" customWidth="1"/>
    <col min="5122" max="5122" width="17.77734375" style="160" customWidth="1"/>
    <col min="5123" max="5123" width="4.5546875" style="160" customWidth="1"/>
    <col min="5124" max="5124" width="8.5546875" style="160" customWidth="1"/>
    <col min="5125" max="5125" width="22.21875" style="160" customWidth="1"/>
    <col min="5126" max="5126" width="45.5546875" style="160" customWidth="1"/>
    <col min="5127" max="5127" width="4.5546875" style="160" customWidth="1"/>
    <col min="5128" max="5128" width="46.5546875" style="160" bestFit="1" customWidth="1"/>
    <col min="5129" max="5129" width="13.77734375" style="160" bestFit="1" customWidth="1"/>
    <col min="5130" max="5131" width="10.5546875" style="160" bestFit="1" customWidth="1"/>
    <col min="5132" max="5375" width="9.21875" style="160"/>
    <col min="5376" max="5376" width="3.5546875" style="160" customWidth="1"/>
    <col min="5377" max="5377" width="6.5546875" style="160" customWidth="1"/>
    <col min="5378" max="5378" width="17.77734375" style="160" customWidth="1"/>
    <col min="5379" max="5379" width="4.5546875" style="160" customWidth="1"/>
    <col min="5380" max="5380" width="8.5546875" style="160" customWidth="1"/>
    <col min="5381" max="5381" width="22.21875" style="160" customWidth="1"/>
    <col min="5382" max="5382" width="45.5546875" style="160" customWidth="1"/>
    <col min="5383" max="5383" width="4.5546875" style="160" customWidth="1"/>
    <col min="5384" max="5384" width="46.5546875" style="160" bestFit="1" customWidth="1"/>
    <col min="5385" max="5385" width="13.77734375" style="160" bestFit="1" customWidth="1"/>
    <col min="5386" max="5387" width="10.5546875" style="160" bestFit="1" customWidth="1"/>
    <col min="5388" max="5631" width="9.21875" style="160"/>
    <col min="5632" max="5632" width="3.5546875" style="160" customWidth="1"/>
    <col min="5633" max="5633" width="6.5546875" style="160" customWidth="1"/>
    <col min="5634" max="5634" width="17.77734375" style="160" customWidth="1"/>
    <col min="5635" max="5635" width="4.5546875" style="160" customWidth="1"/>
    <col min="5636" max="5636" width="8.5546875" style="160" customWidth="1"/>
    <col min="5637" max="5637" width="22.21875" style="160" customWidth="1"/>
    <col min="5638" max="5638" width="45.5546875" style="160" customWidth="1"/>
    <col min="5639" max="5639" width="4.5546875" style="160" customWidth="1"/>
    <col min="5640" max="5640" width="46.5546875" style="160" bestFit="1" customWidth="1"/>
    <col min="5641" max="5641" width="13.77734375" style="160" bestFit="1" customWidth="1"/>
    <col min="5642" max="5643" width="10.5546875" style="160" bestFit="1" customWidth="1"/>
    <col min="5644" max="5887" width="9.21875" style="160"/>
    <col min="5888" max="5888" width="3.5546875" style="160" customWidth="1"/>
    <col min="5889" max="5889" width="6.5546875" style="160" customWidth="1"/>
    <col min="5890" max="5890" width="17.77734375" style="160" customWidth="1"/>
    <col min="5891" max="5891" width="4.5546875" style="160" customWidth="1"/>
    <col min="5892" max="5892" width="8.5546875" style="160" customWidth="1"/>
    <col min="5893" max="5893" width="22.21875" style="160" customWidth="1"/>
    <col min="5894" max="5894" width="45.5546875" style="160" customWidth="1"/>
    <col min="5895" max="5895" width="4.5546875" style="160" customWidth="1"/>
    <col min="5896" max="5896" width="46.5546875" style="160" bestFit="1" customWidth="1"/>
    <col min="5897" max="5897" width="13.77734375" style="160" bestFit="1" customWidth="1"/>
    <col min="5898" max="5899" width="10.5546875" style="160" bestFit="1" customWidth="1"/>
    <col min="5900" max="6143" width="9.21875" style="160"/>
    <col min="6144" max="6144" width="3.5546875" style="160" customWidth="1"/>
    <col min="6145" max="6145" width="6.5546875" style="160" customWidth="1"/>
    <col min="6146" max="6146" width="17.77734375" style="160" customWidth="1"/>
    <col min="6147" max="6147" width="4.5546875" style="160" customWidth="1"/>
    <col min="6148" max="6148" width="8.5546875" style="160" customWidth="1"/>
    <col min="6149" max="6149" width="22.21875" style="160" customWidth="1"/>
    <col min="6150" max="6150" width="45.5546875" style="160" customWidth="1"/>
    <col min="6151" max="6151" width="4.5546875" style="160" customWidth="1"/>
    <col min="6152" max="6152" width="46.5546875" style="160" bestFit="1" customWidth="1"/>
    <col min="6153" max="6153" width="13.77734375" style="160" bestFit="1" customWidth="1"/>
    <col min="6154" max="6155" width="10.5546875" style="160" bestFit="1" customWidth="1"/>
    <col min="6156" max="6399" width="9.21875" style="160"/>
    <col min="6400" max="6400" width="3.5546875" style="160" customWidth="1"/>
    <col min="6401" max="6401" width="6.5546875" style="160" customWidth="1"/>
    <col min="6402" max="6402" width="17.77734375" style="160" customWidth="1"/>
    <col min="6403" max="6403" width="4.5546875" style="160" customWidth="1"/>
    <col min="6404" max="6404" width="8.5546875" style="160" customWidth="1"/>
    <col min="6405" max="6405" width="22.21875" style="160" customWidth="1"/>
    <col min="6406" max="6406" width="45.5546875" style="160" customWidth="1"/>
    <col min="6407" max="6407" width="4.5546875" style="160" customWidth="1"/>
    <col min="6408" max="6408" width="46.5546875" style="160" bestFit="1" customWidth="1"/>
    <col min="6409" max="6409" width="13.77734375" style="160" bestFit="1" customWidth="1"/>
    <col min="6410" max="6411" width="10.5546875" style="160" bestFit="1" customWidth="1"/>
    <col min="6412" max="6655" width="9.21875" style="160"/>
    <col min="6656" max="6656" width="3.5546875" style="160" customWidth="1"/>
    <col min="6657" max="6657" width="6.5546875" style="160" customWidth="1"/>
    <col min="6658" max="6658" width="17.77734375" style="160" customWidth="1"/>
    <col min="6659" max="6659" width="4.5546875" style="160" customWidth="1"/>
    <col min="6660" max="6660" width="8.5546875" style="160" customWidth="1"/>
    <col min="6661" max="6661" width="22.21875" style="160" customWidth="1"/>
    <col min="6662" max="6662" width="45.5546875" style="160" customWidth="1"/>
    <col min="6663" max="6663" width="4.5546875" style="160" customWidth="1"/>
    <col min="6664" max="6664" width="46.5546875" style="160" bestFit="1" customWidth="1"/>
    <col min="6665" max="6665" width="13.77734375" style="160" bestFit="1" customWidth="1"/>
    <col min="6666" max="6667" width="10.5546875" style="160" bestFit="1" customWidth="1"/>
    <col min="6668" max="6911" width="9.21875" style="160"/>
    <col min="6912" max="6912" width="3.5546875" style="160" customWidth="1"/>
    <col min="6913" max="6913" width="6.5546875" style="160" customWidth="1"/>
    <col min="6914" max="6914" width="17.77734375" style="160" customWidth="1"/>
    <col min="6915" max="6915" width="4.5546875" style="160" customWidth="1"/>
    <col min="6916" max="6916" width="8.5546875" style="160" customWidth="1"/>
    <col min="6917" max="6917" width="22.21875" style="160" customWidth="1"/>
    <col min="6918" max="6918" width="45.5546875" style="160" customWidth="1"/>
    <col min="6919" max="6919" width="4.5546875" style="160" customWidth="1"/>
    <col min="6920" max="6920" width="46.5546875" style="160" bestFit="1" customWidth="1"/>
    <col min="6921" max="6921" width="13.77734375" style="160" bestFit="1" customWidth="1"/>
    <col min="6922" max="6923" width="10.5546875" style="160" bestFit="1" customWidth="1"/>
    <col min="6924" max="7167" width="9.21875" style="160"/>
    <col min="7168" max="7168" width="3.5546875" style="160" customWidth="1"/>
    <col min="7169" max="7169" width="6.5546875" style="160" customWidth="1"/>
    <col min="7170" max="7170" width="17.77734375" style="160" customWidth="1"/>
    <col min="7171" max="7171" width="4.5546875" style="160" customWidth="1"/>
    <col min="7172" max="7172" width="8.5546875" style="160" customWidth="1"/>
    <col min="7173" max="7173" width="22.21875" style="160" customWidth="1"/>
    <col min="7174" max="7174" width="45.5546875" style="160" customWidth="1"/>
    <col min="7175" max="7175" width="4.5546875" style="160" customWidth="1"/>
    <col min="7176" max="7176" width="46.5546875" style="160" bestFit="1" customWidth="1"/>
    <col min="7177" max="7177" width="13.77734375" style="160" bestFit="1" customWidth="1"/>
    <col min="7178" max="7179" width="10.5546875" style="160" bestFit="1" customWidth="1"/>
    <col min="7180" max="7423" width="9.21875" style="160"/>
    <col min="7424" max="7424" width="3.5546875" style="160" customWidth="1"/>
    <col min="7425" max="7425" width="6.5546875" style="160" customWidth="1"/>
    <col min="7426" max="7426" width="17.77734375" style="160" customWidth="1"/>
    <col min="7427" max="7427" width="4.5546875" style="160" customWidth="1"/>
    <col min="7428" max="7428" width="8.5546875" style="160" customWidth="1"/>
    <col min="7429" max="7429" width="22.21875" style="160" customWidth="1"/>
    <col min="7430" max="7430" width="45.5546875" style="160" customWidth="1"/>
    <col min="7431" max="7431" width="4.5546875" style="160" customWidth="1"/>
    <col min="7432" max="7432" width="46.5546875" style="160" bestFit="1" customWidth="1"/>
    <col min="7433" max="7433" width="13.77734375" style="160" bestFit="1" customWidth="1"/>
    <col min="7434" max="7435" width="10.5546875" style="160" bestFit="1" customWidth="1"/>
    <col min="7436" max="7679" width="9.21875" style="160"/>
    <col min="7680" max="7680" width="3.5546875" style="160" customWidth="1"/>
    <col min="7681" max="7681" width="6.5546875" style="160" customWidth="1"/>
    <col min="7682" max="7682" width="17.77734375" style="160" customWidth="1"/>
    <col min="7683" max="7683" width="4.5546875" style="160" customWidth="1"/>
    <col min="7684" max="7684" width="8.5546875" style="160" customWidth="1"/>
    <col min="7685" max="7685" width="22.21875" style="160" customWidth="1"/>
    <col min="7686" max="7686" width="45.5546875" style="160" customWidth="1"/>
    <col min="7687" max="7687" width="4.5546875" style="160" customWidth="1"/>
    <col min="7688" max="7688" width="46.5546875" style="160" bestFit="1" customWidth="1"/>
    <col min="7689" max="7689" width="13.77734375" style="160" bestFit="1" customWidth="1"/>
    <col min="7690" max="7691" width="10.5546875" style="160" bestFit="1" customWidth="1"/>
    <col min="7692" max="7935" width="9.21875" style="160"/>
    <col min="7936" max="7936" width="3.5546875" style="160" customWidth="1"/>
    <col min="7937" max="7937" width="6.5546875" style="160" customWidth="1"/>
    <col min="7938" max="7938" width="17.77734375" style="160" customWidth="1"/>
    <col min="7939" max="7939" width="4.5546875" style="160" customWidth="1"/>
    <col min="7940" max="7940" width="8.5546875" style="160" customWidth="1"/>
    <col min="7941" max="7941" width="22.21875" style="160" customWidth="1"/>
    <col min="7942" max="7942" width="45.5546875" style="160" customWidth="1"/>
    <col min="7943" max="7943" width="4.5546875" style="160" customWidth="1"/>
    <col min="7944" max="7944" width="46.5546875" style="160" bestFit="1" customWidth="1"/>
    <col min="7945" max="7945" width="13.77734375" style="160" bestFit="1" customWidth="1"/>
    <col min="7946" max="7947" width="10.5546875" style="160" bestFit="1" customWidth="1"/>
    <col min="7948" max="8191" width="9.21875" style="160"/>
    <col min="8192" max="8192" width="3.5546875" style="160" customWidth="1"/>
    <col min="8193" max="8193" width="6.5546875" style="160" customWidth="1"/>
    <col min="8194" max="8194" width="17.77734375" style="160" customWidth="1"/>
    <col min="8195" max="8195" width="4.5546875" style="160" customWidth="1"/>
    <col min="8196" max="8196" width="8.5546875" style="160" customWidth="1"/>
    <col min="8197" max="8197" width="22.21875" style="160" customWidth="1"/>
    <col min="8198" max="8198" width="45.5546875" style="160" customWidth="1"/>
    <col min="8199" max="8199" width="4.5546875" style="160" customWidth="1"/>
    <col min="8200" max="8200" width="46.5546875" style="160" bestFit="1" customWidth="1"/>
    <col min="8201" max="8201" width="13.77734375" style="160" bestFit="1" customWidth="1"/>
    <col min="8202" max="8203" width="10.5546875" style="160" bestFit="1" customWidth="1"/>
    <col min="8204" max="8447" width="9.21875" style="160"/>
    <col min="8448" max="8448" width="3.5546875" style="160" customWidth="1"/>
    <col min="8449" max="8449" width="6.5546875" style="160" customWidth="1"/>
    <col min="8450" max="8450" width="17.77734375" style="160" customWidth="1"/>
    <col min="8451" max="8451" width="4.5546875" style="160" customWidth="1"/>
    <col min="8452" max="8452" width="8.5546875" style="160" customWidth="1"/>
    <col min="8453" max="8453" width="22.21875" style="160" customWidth="1"/>
    <col min="8454" max="8454" width="45.5546875" style="160" customWidth="1"/>
    <col min="8455" max="8455" width="4.5546875" style="160" customWidth="1"/>
    <col min="8456" max="8456" width="46.5546875" style="160" bestFit="1" customWidth="1"/>
    <col min="8457" max="8457" width="13.77734375" style="160" bestFit="1" customWidth="1"/>
    <col min="8458" max="8459" width="10.5546875" style="160" bestFit="1" customWidth="1"/>
    <col min="8460" max="8703" width="9.21875" style="160"/>
    <col min="8704" max="8704" width="3.5546875" style="160" customWidth="1"/>
    <col min="8705" max="8705" width="6.5546875" style="160" customWidth="1"/>
    <col min="8706" max="8706" width="17.77734375" style="160" customWidth="1"/>
    <col min="8707" max="8707" width="4.5546875" style="160" customWidth="1"/>
    <col min="8708" max="8708" width="8.5546875" style="160" customWidth="1"/>
    <col min="8709" max="8709" width="22.21875" style="160" customWidth="1"/>
    <col min="8710" max="8710" width="45.5546875" style="160" customWidth="1"/>
    <col min="8711" max="8711" width="4.5546875" style="160" customWidth="1"/>
    <col min="8712" max="8712" width="46.5546875" style="160" bestFit="1" customWidth="1"/>
    <col min="8713" max="8713" width="13.77734375" style="160" bestFit="1" customWidth="1"/>
    <col min="8714" max="8715" width="10.5546875" style="160" bestFit="1" customWidth="1"/>
    <col min="8716" max="8959" width="9.21875" style="160"/>
    <col min="8960" max="8960" width="3.5546875" style="160" customWidth="1"/>
    <col min="8961" max="8961" width="6.5546875" style="160" customWidth="1"/>
    <col min="8962" max="8962" width="17.77734375" style="160" customWidth="1"/>
    <col min="8963" max="8963" width="4.5546875" style="160" customWidth="1"/>
    <col min="8964" max="8964" width="8.5546875" style="160" customWidth="1"/>
    <col min="8965" max="8965" width="22.21875" style="160" customWidth="1"/>
    <col min="8966" max="8966" width="45.5546875" style="160" customWidth="1"/>
    <col min="8967" max="8967" width="4.5546875" style="160" customWidth="1"/>
    <col min="8968" max="8968" width="46.5546875" style="160" bestFit="1" customWidth="1"/>
    <col min="8969" max="8969" width="13.77734375" style="160" bestFit="1" customWidth="1"/>
    <col min="8970" max="8971" width="10.5546875" style="160" bestFit="1" customWidth="1"/>
    <col min="8972" max="9215" width="9.21875" style="160"/>
    <col min="9216" max="9216" width="3.5546875" style="160" customWidth="1"/>
    <col min="9217" max="9217" width="6.5546875" style="160" customWidth="1"/>
    <col min="9218" max="9218" width="17.77734375" style="160" customWidth="1"/>
    <col min="9219" max="9219" width="4.5546875" style="160" customWidth="1"/>
    <col min="9220" max="9220" width="8.5546875" style="160" customWidth="1"/>
    <col min="9221" max="9221" width="22.21875" style="160" customWidth="1"/>
    <col min="9222" max="9222" width="45.5546875" style="160" customWidth="1"/>
    <col min="9223" max="9223" width="4.5546875" style="160" customWidth="1"/>
    <col min="9224" max="9224" width="46.5546875" style="160" bestFit="1" customWidth="1"/>
    <col min="9225" max="9225" width="13.77734375" style="160" bestFit="1" customWidth="1"/>
    <col min="9226" max="9227" width="10.5546875" style="160" bestFit="1" customWidth="1"/>
    <col min="9228" max="9471" width="9.21875" style="160"/>
    <col min="9472" max="9472" width="3.5546875" style="160" customWidth="1"/>
    <col min="9473" max="9473" width="6.5546875" style="160" customWidth="1"/>
    <col min="9474" max="9474" width="17.77734375" style="160" customWidth="1"/>
    <col min="9475" max="9475" width="4.5546875" style="160" customWidth="1"/>
    <col min="9476" max="9476" width="8.5546875" style="160" customWidth="1"/>
    <col min="9477" max="9477" width="22.21875" style="160" customWidth="1"/>
    <col min="9478" max="9478" width="45.5546875" style="160" customWidth="1"/>
    <col min="9479" max="9479" width="4.5546875" style="160" customWidth="1"/>
    <col min="9480" max="9480" width="46.5546875" style="160" bestFit="1" customWidth="1"/>
    <col min="9481" max="9481" width="13.77734375" style="160" bestFit="1" customWidth="1"/>
    <col min="9482" max="9483" width="10.5546875" style="160" bestFit="1" customWidth="1"/>
    <col min="9484" max="9727" width="9.21875" style="160"/>
    <col min="9728" max="9728" width="3.5546875" style="160" customWidth="1"/>
    <col min="9729" max="9729" width="6.5546875" style="160" customWidth="1"/>
    <col min="9730" max="9730" width="17.77734375" style="160" customWidth="1"/>
    <col min="9731" max="9731" width="4.5546875" style="160" customWidth="1"/>
    <col min="9732" max="9732" width="8.5546875" style="160" customWidth="1"/>
    <col min="9733" max="9733" width="22.21875" style="160" customWidth="1"/>
    <col min="9734" max="9734" width="45.5546875" style="160" customWidth="1"/>
    <col min="9735" max="9735" width="4.5546875" style="160" customWidth="1"/>
    <col min="9736" max="9736" width="46.5546875" style="160" bestFit="1" customWidth="1"/>
    <col min="9737" max="9737" width="13.77734375" style="160" bestFit="1" customWidth="1"/>
    <col min="9738" max="9739" width="10.5546875" style="160" bestFit="1" customWidth="1"/>
    <col min="9740" max="9983" width="9.21875" style="160"/>
    <col min="9984" max="9984" width="3.5546875" style="160" customWidth="1"/>
    <col min="9985" max="9985" width="6.5546875" style="160" customWidth="1"/>
    <col min="9986" max="9986" width="17.77734375" style="160" customWidth="1"/>
    <col min="9987" max="9987" width="4.5546875" style="160" customWidth="1"/>
    <col min="9988" max="9988" width="8.5546875" style="160" customWidth="1"/>
    <col min="9989" max="9989" width="22.21875" style="160" customWidth="1"/>
    <col min="9990" max="9990" width="45.5546875" style="160" customWidth="1"/>
    <col min="9991" max="9991" width="4.5546875" style="160" customWidth="1"/>
    <col min="9992" max="9992" width="46.5546875" style="160" bestFit="1" customWidth="1"/>
    <col min="9993" max="9993" width="13.77734375" style="160" bestFit="1" customWidth="1"/>
    <col min="9994" max="9995" width="10.5546875" style="160" bestFit="1" customWidth="1"/>
    <col min="9996" max="10239" width="9.21875" style="160"/>
    <col min="10240" max="10240" width="3.5546875" style="160" customWidth="1"/>
    <col min="10241" max="10241" width="6.5546875" style="160" customWidth="1"/>
    <col min="10242" max="10242" width="17.77734375" style="160" customWidth="1"/>
    <col min="10243" max="10243" width="4.5546875" style="160" customWidth="1"/>
    <col min="10244" max="10244" width="8.5546875" style="160" customWidth="1"/>
    <col min="10245" max="10245" width="22.21875" style="160" customWidth="1"/>
    <col min="10246" max="10246" width="45.5546875" style="160" customWidth="1"/>
    <col min="10247" max="10247" width="4.5546875" style="160" customWidth="1"/>
    <col min="10248" max="10248" width="46.5546875" style="160" bestFit="1" customWidth="1"/>
    <col min="10249" max="10249" width="13.77734375" style="160" bestFit="1" customWidth="1"/>
    <col min="10250" max="10251" width="10.5546875" style="160" bestFit="1" customWidth="1"/>
    <col min="10252" max="10495" width="9.21875" style="160"/>
    <col min="10496" max="10496" width="3.5546875" style="160" customWidth="1"/>
    <col min="10497" max="10497" width="6.5546875" style="160" customWidth="1"/>
    <col min="10498" max="10498" width="17.77734375" style="160" customWidth="1"/>
    <col min="10499" max="10499" width="4.5546875" style="160" customWidth="1"/>
    <col min="10500" max="10500" width="8.5546875" style="160" customWidth="1"/>
    <col min="10501" max="10501" width="22.21875" style="160" customWidth="1"/>
    <col min="10502" max="10502" width="45.5546875" style="160" customWidth="1"/>
    <col min="10503" max="10503" width="4.5546875" style="160" customWidth="1"/>
    <col min="10504" max="10504" width="46.5546875" style="160" bestFit="1" customWidth="1"/>
    <col min="10505" max="10505" width="13.77734375" style="160" bestFit="1" customWidth="1"/>
    <col min="10506" max="10507" width="10.5546875" style="160" bestFit="1" customWidth="1"/>
    <col min="10508" max="10751" width="9.21875" style="160"/>
    <col min="10752" max="10752" width="3.5546875" style="160" customWidth="1"/>
    <col min="10753" max="10753" width="6.5546875" style="160" customWidth="1"/>
    <col min="10754" max="10754" width="17.77734375" style="160" customWidth="1"/>
    <col min="10755" max="10755" width="4.5546875" style="160" customWidth="1"/>
    <col min="10756" max="10756" width="8.5546875" style="160" customWidth="1"/>
    <col min="10757" max="10757" width="22.21875" style="160" customWidth="1"/>
    <col min="10758" max="10758" width="45.5546875" style="160" customWidth="1"/>
    <col min="10759" max="10759" width="4.5546875" style="160" customWidth="1"/>
    <col min="10760" max="10760" width="46.5546875" style="160" bestFit="1" customWidth="1"/>
    <col min="10761" max="10761" width="13.77734375" style="160" bestFit="1" customWidth="1"/>
    <col min="10762" max="10763" width="10.5546875" style="160" bestFit="1" customWidth="1"/>
    <col min="10764" max="11007" width="9.21875" style="160"/>
    <col min="11008" max="11008" width="3.5546875" style="160" customWidth="1"/>
    <col min="11009" max="11009" width="6.5546875" style="160" customWidth="1"/>
    <col min="11010" max="11010" width="17.77734375" style="160" customWidth="1"/>
    <col min="11011" max="11011" width="4.5546875" style="160" customWidth="1"/>
    <col min="11012" max="11012" width="8.5546875" style="160" customWidth="1"/>
    <col min="11013" max="11013" width="22.21875" style="160" customWidth="1"/>
    <col min="11014" max="11014" width="45.5546875" style="160" customWidth="1"/>
    <col min="11015" max="11015" width="4.5546875" style="160" customWidth="1"/>
    <col min="11016" max="11016" width="46.5546875" style="160" bestFit="1" customWidth="1"/>
    <col min="11017" max="11017" width="13.77734375" style="160" bestFit="1" customWidth="1"/>
    <col min="11018" max="11019" width="10.5546875" style="160" bestFit="1" customWidth="1"/>
    <col min="11020" max="11263" width="9.21875" style="160"/>
    <col min="11264" max="11264" width="3.5546875" style="160" customWidth="1"/>
    <col min="11265" max="11265" width="6.5546875" style="160" customWidth="1"/>
    <col min="11266" max="11266" width="17.77734375" style="160" customWidth="1"/>
    <col min="11267" max="11267" width="4.5546875" style="160" customWidth="1"/>
    <col min="11268" max="11268" width="8.5546875" style="160" customWidth="1"/>
    <col min="11269" max="11269" width="22.21875" style="160" customWidth="1"/>
    <col min="11270" max="11270" width="45.5546875" style="160" customWidth="1"/>
    <col min="11271" max="11271" width="4.5546875" style="160" customWidth="1"/>
    <col min="11272" max="11272" width="46.5546875" style="160" bestFit="1" customWidth="1"/>
    <col min="11273" max="11273" width="13.77734375" style="160" bestFit="1" customWidth="1"/>
    <col min="11274" max="11275" width="10.5546875" style="160" bestFit="1" customWidth="1"/>
    <col min="11276" max="11519" width="9.21875" style="160"/>
    <col min="11520" max="11520" width="3.5546875" style="160" customWidth="1"/>
    <col min="11521" max="11521" width="6.5546875" style="160" customWidth="1"/>
    <col min="11522" max="11522" width="17.77734375" style="160" customWidth="1"/>
    <col min="11523" max="11523" width="4.5546875" style="160" customWidth="1"/>
    <col min="11524" max="11524" width="8.5546875" style="160" customWidth="1"/>
    <col min="11525" max="11525" width="22.21875" style="160" customWidth="1"/>
    <col min="11526" max="11526" width="45.5546875" style="160" customWidth="1"/>
    <col min="11527" max="11527" width="4.5546875" style="160" customWidth="1"/>
    <col min="11528" max="11528" width="46.5546875" style="160" bestFit="1" customWidth="1"/>
    <col min="11529" max="11529" width="13.77734375" style="160" bestFit="1" customWidth="1"/>
    <col min="11530" max="11531" width="10.5546875" style="160" bestFit="1" customWidth="1"/>
    <col min="11532" max="11775" width="9.21875" style="160"/>
    <col min="11776" max="11776" width="3.5546875" style="160" customWidth="1"/>
    <col min="11777" max="11777" width="6.5546875" style="160" customWidth="1"/>
    <col min="11778" max="11778" width="17.77734375" style="160" customWidth="1"/>
    <col min="11779" max="11779" width="4.5546875" style="160" customWidth="1"/>
    <col min="11780" max="11780" width="8.5546875" style="160" customWidth="1"/>
    <col min="11781" max="11781" width="22.21875" style="160" customWidth="1"/>
    <col min="11782" max="11782" width="45.5546875" style="160" customWidth="1"/>
    <col min="11783" max="11783" width="4.5546875" style="160" customWidth="1"/>
    <col min="11784" max="11784" width="46.5546875" style="160" bestFit="1" customWidth="1"/>
    <col min="11785" max="11785" width="13.77734375" style="160" bestFit="1" customWidth="1"/>
    <col min="11786" max="11787" width="10.5546875" style="160" bestFit="1" customWidth="1"/>
    <col min="11788" max="12031" width="9.21875" style="160"/>
    <col min="12032" max="12032" width="3.5546875" style="160" customWidth="1"/>
    <col min="12033" max="12033" width="6.5546875" style="160" customWidth="1"/>
    <col min="12034" max="12034" width="17.77734375" style="160" customWidth="1"/>
    <col min="12035" max="12035" width="4.5546875" style="160" customWidth="1"/>
    <col min="12036" max="12036" width="8.5546875" style="160" customWidth="1"/>
    <col min="12037" max="12037" width="22.21875" style="160" customWidth="1"/>
    <col min="12038" max="12038" width="45.5546875" style="160" customWidth="1"/>
    <col min="12039" max="12039" width="4.5546875" style="160" customWidth="1"/>
    <col min="12040" max="12040" width="46.5546875" style="160" bestFit="1" customWidth="1"/>
    <col min="12041" max="12041" width="13.77734375" style="160" bestFit="1" customWidth="1"/>
    <col min="12042" max="12043" width="10.5546875" style="160" bestFit="1" customWidth="1"/>
    <col min="12044" max="12287" width="9.21875" style="160"/>
    <col min="12288" max="12288" width="3.5546875" style="160" customWidth="1"/>
    <col min="12289" max="12289" width="6.5546875" style="160" customWidth="1"/>
    <col min="12290" max="12290" width="17.77734375" style="160" customWidth="1"/>
    <col min="12291" max="12291" width="4.5546875" style="160" customWidth="1"/>
    <col min="12292" max="12292" width="8.5546875" style="160" customWidth="1"/>
    <col min="12293" max="12293" width="22.21875" style="160" customWidth="1"/>
    <col min="12294" max="12294" width="45.5546875" style="160" customWidth="1"/>
    <col min="12295" max="12295" width="4.5546875" style="160" customWidth="1"/>
    <col min="12296" max="12296" width="46.5546875" style="160" bestFit="1" customWidth="1"/>
    <col min="12297" max="12297" width="13.77734375" style="160" bestFit="1" customWidth="1"/>
    <col min="12298" max="12299" width="10.5546875" style="160" bestFit="1" customWidth="1"/>
    <col min="12300" max="12543" width="9.21875" style="160"/>
    <col min="12544" max="12544" width="3.5546875" style="160" customWidth="1"/>
    <col min="12545" max="12545" width="6.5546875" style="160" customWidth="1"/>
    <col min="12546" max="12546" width="17.77734375" style="160" customWidth="1"/>
    <col min="12547" max="12547" width="4.5546875" style="160" customWidth="1"/>
    <col min="12548" max="12548" width="8.5546875" style="160" customWidth="1"/>
    <col min="12549" max="12549" width="22.21875" style="160" customWidth="1"/>
    <col min="12550" max="12550" width="45.5546875" style="160" customWidth="1"/>
    <col min="12551" max="12551" width="4.5546875" style="160" customWidth="1"/>
    <col min="12552" max="12552" width="46.5546875" style="160" bestFit="1" customWidth="1"/>
    <col min="12553" max="12553" width="13.77734375" style="160" bestFit="1" customWidth="1"/>
    <col min="12554" max="12555" width="10.5546875" style="160" bestFit="1" customWidth="1"/>
    <col min="12556" max="12799" width="9.21875" style="160"/>
    <col min="12800" max="12800" width="3.5546875" style="160" customWidth="1"/>
    <col min="12801" max="12801" width="6.5546875" style="160" customWidth="1"/>
    <col min="12802" max="12802" width="17.77734375" style="160" customWidth="1"/>
    <col min="12803" max="12803" width="4.5546875" style="160" customWidth="1"/>
    <col min="12804" max="12804" width="8.5546875" style="160" customWidth="1"/>
    <col min="12805" max="12805" width="22.21875" style="160" customWidth="1"/>
    <col min="12806" max="12806" width="45.5546875" style="160" customWidth="1"/>
    <col min="12807" max="12807" width="4.5546875" style="160" customWidth="1"/>
    <col min="12808" max="12808" width="46.5546875" style="160" bestFit="1" customWidth="1"/>
    <col min="12809" max="12809" width="13.77734375" style="160" bestFit="1" customWidth="1"/>
    <col min="12810" max="12811" width="10.5546875" style="160" bestFit="1" customWidth="1"/>
    <col min="12812" max="13055" width="9.21875" style="160"/>
    <col min="13056" max="13056" width="3.5546875" style="160" customWidth="1"/>
    <col min="13057" max="13057" width="6.5546875" style="160" customWidth="1"/>
    <col min="13058" max="13058" width="17.77734375" style="160" customWidth="1"/>
    <col min="13059" max="13059" width="4.5546875" style="160" customWidth="1"/>
    <col min="13060" max="13060" width="8.5546875" style="160" customWidth="1"/>
    <col min="13061" max="13061" width="22.21875" style="160" customWidth="1"/>
    <col min="13062" max="13062" width="45.5546875" style="160" customWidth="1"/>
    <col min="13063" max="13063" width="4.5546875" style="160" customWidth="1"/>
    <col min="13064" max="13064" width="46.5546875" style="160" bestFit="1" customWidth="1"/>
    <col min="13065" max="13065" width="13.77734375" style="160" bestFit="1" customWidth="1"/>
    <col min="13066" max="13067" width="10.5546875" style="160" bestFit="1" customWidth="1"/>
    <col min="13068" max="13311" width="9.21875" style="160"/>
    <col min="13312" max="13312" width="3.5546875" style="160" customWidth="1"/>
    <col min="13313" max="13313" width="6.5546875" style="160" customWidth="1"/>
    <col min="13314" max="13314" width="17.77734375" style="160" customWidth="1"/>
    <col min="13315" max="13315" width="4.5546875" style="160" customWidth="1"/>
    <col min="13316" max="13316" width="8.5546875" style="160" customWidth="1"/>
    <col min="13317" max="13317" width="22.21875" style="160" customWidth="1"/>
    <col min="13318" max="13318" width="45.5546875" style="160" customWidth="1"/>
    <col min="13319" max="13319" width="4.5546875" style="160" customWidth="1"/>
    <col min="13320" max="13320" width="46.5546875" style="160" bestFit="1" customWidth="1"/>
    <col min="13321" max="13321" width="13.77734375" style="160" bestFit="1" customWidth="1"/>
    <col min="13322" max="13323" width="10.5546875" style="160" bestFit="1" customWidth="1"/>
    <col min="13324" max="13567" width="9.21875" style="160"/>
    <col min="13568" max="13568" width="3.5546875" style="160" customWidth="1"/>
    <col min="13569" max="13569" width="6.5546875" style="160" customWidth="1"/>
    <col min="13570" max="13570" width="17.77734375" style="160" customWidth="1"/>
    <col min="13571" max="13571" width="4.5546875" style="160" customWidth="1"/>
    <col min="13572" max="13572" width="8.5546875" style="160" customWidth="1"/>
    <col min="13573" max="13573" width="22.21875" style="160" customWidth="1"/>
    <col min="13574" max="13574" width="45.5546875" style="160" customWidth="1"/>
    <col min="13575" max="13575" width="4.5546875" style="160" customWidth="1"/>
    <col min="13576" max="13576" width="46.5546875" style="160" bestFit="1" customWidth="1"/>
    <col min="13577" max="13577" width="13.77734375" style="160" bestFit="1" customWidth="1"/>
    <col min="13578" max="13579" width="10.5546875" style="160" bestFit="1" customWidth="1"/>
    <col min="13580" max="13823" width="9.21875" style="160"/>
    <col min="13824" max="13824" width="3.5546875" style="160" customWidth="1"/>
    <col min="13825" max="13825" width="6.5546875" style="160" customWidth="1"/>
    <col min="13826" max="13826" width="17.77734375" style="160" customWidth="1"/>
    <col min="13827" max="13827" width="4.5546875" style="160" customWidth="1"/>
    <col min="13828" max="13828" width="8.5546875" style="160" customWidth="1"/>
    <col min="13829" max="13829" width="22.21875" style="160" customWidth="1"/>
    <col min="13830" max="13830" width="45.5546875" style="160" customWidth="1"/>
    <col min="13831" max="13831" width="4.5546875" style="160" customWidth="1"/>
    <col min="13832" max="13832" width="46.5546875" style="160" bestFit="1" customWidth="1"/>
    <col min="13833" max="13833" width="13.77734375" style="160" bestFit="1" customWidth="1"/>
    <col min="13834" max="13835" width="10.5546875" style="160" bestFit="1" customWidth="1"/>
    <col min="13836" max="14079" width="9.21875" style="160"/>
    <col min="14080" max="14080" width="3.5546875" style="160" customWidth="1"/>
    <col min="14081" max="14081" width="6.5546875" style="160" customWidth="1"/>
    <col min="14082" max="14082" width="17.77734375" style="160" customWidth="1"/>
    <col min="14083" max="14083" width="4.5546875" style="160" customWidth="1"/>
    <col min="14084" max="14084" width="8.5546875" style="160" customWidth="1"/>
    <col min="14085" max="14085" width="22.21875" style="160" customWidth="1"/>
    <col min="14086" max="14086" width="45.5546875" style="160" customWidth="1"/>
    <col min="14087" max="14087" width="4.5546875" style="160" customWidth="1"/>
    <col min="14088" max="14088" width="46.5546875" style="160" bestFit="1" customWidth="1"/>
    <col min="14089" max="14089" width="13.77734375" style="160" bestFit="1" customWidth="1"/>
    <col min="14090" max="14091" width="10.5546875" style="160" bestFit="1" customWidth="1"/>
    <col min="14092" max="14335" width="9.21875" style="160"/>
    <col min="14336" max="14336" width="3.5546875" style="160" customWidth="1"/>
    <col min="14337" max="14337" width="6.5546875" style="160" customWidth="1"/>
    <col min="14338" max="14338" width="17.77734375" style="160" customWidth="1"/>
    <col min="14339" max="14339" width="4.5546875" style="160" customWidth="1"/>
    <col min="14340" max="14340" width="8.5546875" style="160" customWidth="1"/>
    <col min="14341" max="14341" width="22.21875" style="160" customWidth="1"/>
    <col min="14342" max="14342" width="45.5546875" style="160" customWidth="1"/>
    <col min="14343" max="14343" width="4.5546875" style="160" customWidth="1"/>
    <col min="14344" max="14344" width="46.5546875" style="160" bestFit="1" customWidth="1"/>
    <col min="14345" max="14345" width="13.77734375" style="160" bestFit="1" customWidth="1"/>
    <col min="14346" max="14347" width="10.5546875" style="160" bestFit="1" customWidth="1"/>
    <col min="14348" max="14591" width="9.21875" style="160"/>
    <col min="14592" max="14592" width="3.5546875" style="160" customWidth="1"/>
    <col min="14593" max="14593" width="6.5546875" style="160" customWidth="1"/>
    <col min="14594" max="14594" width="17.77734375" style="160" customWidth="1"/>
    <col min="14595" max="14595" width="4.5546875" style="160" customWidth="1"/>
    <col min="14596" max="14596" width="8.5546875" style="160" customWidth="1"/>
    <col min="14597" max="14597" width="22.21875" style="160" customWidth="1"/>
    <col min="14598" max="14598" width="45.5546875" style="160" customWidth="1"/>
    <col min="14599" max="14599" width="4.5546875" style="160" customWidth="1"/>
    <col min="14600" max="14600" width="46.5546875" style="160" bestFit="1" customWidth="1"/>
    <col min="14601" max="14601" width="13.77734375" style="160" bestFit="1" customWidth="1"/>
    <col min="14602" max="14603" width="10.5546875" style="160" bestFit="1" customWidth="1"/>
    <col min="14604" max="14847" width="9.21875" style="160"/>
    <col min="14848" max="14848" width="3.5546875" style="160" customWidth="1"/>
    <col min="14849" max="14849" width="6.5546875" style="160" customWidth="1"/>
    <col min="14850" max="14850" width="17.77734375" style="160" customWidth="1"/>
    <col min="14851" max="14851" width="4.5546875" style="160" customWidth="1"/>
    <col min="14852" max="14852" width="8.5546875" style="160" customWidth="1"/>
    <col min="14853" max="14853" width="22.21875" style="160" customWidth="1"/>
    <col min="14854" max="14854" width="45.5546875" style="160" customWidth="1"/>
    <col min="14855" max="14855" width="4.5546875" style="160" customWidth="1"/>
    <col min="14856" max="14856" width="46.5546875" style="160" bestFit="1" customWidth="1"/>
    <col min="14857" max="14857" width="13.77734375" style="160" bestFit="1" customWidth="1"/>
    <col min="14858" max="14859" width="10.5546875" style="160" bestFit="1" customWidth="1"/>
    <col min="14860" max="15103" width="9.21875" style="160"/>
    <col min="15104" max="15104" width="3.5546875" style="160" customWidth="1"/>
    <col min="15105" max="15105" width="6.5546875" style="160" customWidth="1"/>
    <col min="15106" max="15106" width="17.77734375" style="160" customWidth="1"/>
    <col min="15107" max="15107" width="4.5546875" style="160" customWidth="1"/>
    <col min="15108" max="15108" width="8.5546875" style="160" customWidth="1"/>
    <col min="15109" max="15109" width="22.21875" style="160" customWidth="1"/>
    <col min="15110" max="15110" width="45.5546875" style="160" customWidth="1"/>
    <col min="15111" max="15111" width="4.5546875" style="160" customWidth="1"/>
    <col min="15112" max="15112" width="46.5546875" style="160" bestFit="1" customWidth="1"/>
    <col min="15113" max="15113" width="13.77734375" style="160" bestFit="1" customWidth="1"/>
    <col min="15114" max="15115" width="10.5546875" style="160" bestFit="1" customWidth="1"/>
    <col min="15116" max="15359" width="9.21875" style="160"/>
    <col min="15360" max="15360" width="3.5546875" style="160" customWidth="1"/>
    <col min="15361" max="15361" width="6.5546875" style="160" customWidth="1"/>
    <col min="15362" max="15362" width="17.77734375" style="160" customWidth="1"/>
    <col min="15363" max="15363" width="4.5546875" style="160" customWidth="1"/>
    <col min="15364" max="15364" width="8.5546875" style="160" customWidth="1"/>
    <col min="15365" max="15365" width="22.21875" style="160" customWidth="1"/>
    <col min="15366" max="15366" width="45.5546875" style="160" customWidth="1"/>
    <col min="15367" max="15367" width="4.5546875" style="160" customWidth="1"/>
    <col min="15368" max="15368" width="46.5546875" style="160" bestFit="1" customWidth="1"/>
    <col min="15369" max="15369" width="13.77734375" style="160" bestFit="1" customWidth="1"/>
    <col min="15370" max="15371" width="10.5546875" style="160" bestFit="1" customWidth="1"/>
    <col min="15372" max="15615" width="9.21875" style="160"/>
    <col min="15616" max="15616" width="3.5546875" style="160" customWidth="1"/>
    <col min="15617" max="15617" width="6.5546875" style="160" customWidth="1"/>
    <col min="15618" max="15618" width="17.77734375" style="160" customWidth="1"/>
    <col min="15619" max="15619" width="4.5546875" style="160" customWidth="1"/>
    <col min="15620" max="15620" width="8.5546875" style="160" customWidth="1"/>
    <col min="15621" max="15621" width="22.21875" style="160" customWidth="1"/>
    <col min="15622" max="15622" width="45.5546875" style="160" customWidth="1"/>
    <col min="15623" max="15623" width="4.5546875" style="160" customWidth="1"/>
    <col min="15624" max="15624" width="46.5546875" style="160" bestFit="1" customWidth="1"/>
    <col min="15625" max="15625" width="13.77734375" style="160" bestFit="1" customWidth="1"/>
    <col min="15626" max="15627" width="10.5546875" style="160" bestFit="1" customWidth="1"/>
    <col min="15628" max="15871" width="9.21875" style="160"/>
    <col min="15872" max="15872" width="3.5546875" style="160" customWidth="1"/>
    <col min="15873" max="15873" width="6.5546875" style="160" customWidth="1"/>
    <col min="15874" max="15874" width="17.77734375" style="160" customWidth="1"/>
    <col min="15875" max="15875" width="4.5546875" style="160" customWidth="1"/>
    <col min="15876" max="15876" width="8.5546875" style="160" customWidth="1"/>
    <col min="15877" max="15877" width="22.21875" style="160" customWidth="1"/>
    <col min="15878" max="15878" width="45.5546875" style="160" customWidth="1"/>
    <col min="15879" max="15879" width="4.5546875" style="160" customWidth="1"/>
    <col min="15880" max="15880" width="46.5546875" style="160" bestFit="1" customWidth="1"/>
    <col min="15881" max="15881" width="13.77734375" style="160" bestFit="1" customWidth="1"/>
    <col min="15882" max="15883" width="10.5546875" style="160" bestFit="1" customWidth="1"/>
    <col min="15884" max="16127" width="9.21875" style="160"/>
    <col min="16128" max="16128" width="3.5546875" style="160" customWidth="1"/>
    <col min="16129" max="16129" width="6.5546875" style="160" customWidth="1"/>
    <col min="16130" max="16130" width="17.77734375" style="160" customWidth="1"/>
    <col min="16131" max="16131" width="4.5546875" style="160" customWidth="1"/>
    <col min="16132" max="16132" width="8.5546875" style="160" customWidth="1"/>
    <col min="16133" max="16133" width="22.21875" style="160" customWidth="1"/>
    <col min="16134" max="16134" width="45.5546875" style="160" customWidth="1"/>
    <col min="16135" max="16135" width="4.5546875" style="160" customWidth="1"/>
    <col min="16136" max="16136" width="46.5546875" style="160" bestFit="1" customWidth="1"/>
    <col min="16137" max="16137" width="13.77734375" style="160" bestFit="1" customWidth="1"/>
    <col min="16138" max="16139" width="10.5546875" style="160" bestFit="1" customWidth="1"/>
    <col min="16140" max="16384" width="9.21875" style="160"/>
  </cols>
  <sheetData>
    <row r="5" spans="2:7" x14ac:dyDescent="0.3">
      <c r="B5" s="110" t="s">
        <v>467</v>
      </c>
    </row>
    <row r="6" spans="2:7" s="159" customFormat="1" x14ac:dyDescent="0.3">
      <c r="B6" s="285" t="s">
        <v>144</v>
      </c>
      <c r="C6" s="286" t="str">
        <f>'Covering Letter '!D5</f>
        <v>CS/0001/2025</v>
      </c>
      <c r="D6" s="287"/>
      <c r="E6" s="287"/>
      <c r="G6" s="288"/>
    </row>
    <row r="7" spans="2:7" x14ac:dyDescent="0.3">
      <c r="B7" s="110"/>
    </row>
    <row r="8" spans="2:7" x14ac:dyDescent="0.3">
      <c r="B8" s="110"/>
    </row>
    <row r="9" spans="2:7" ht="16.2" x14ac:dyDescent="0.3">
      <c r="B9" s="598" t="s">
        <v>599</v>
      </c>
      <c r="C9" s="598"/>
      <c r="D9" s="598"/>
      <c r="E9" s="598"/>
    </row>
    <row r="10" spans="2:7" ht="16.5" customHeight="1" x14ac:dyDescent="0.3">
      <c r="B10" s="463" t="s">
        <v>24</v>
      </c>
      <c r="C10" s="464"/>
      <c r="D10" s="597" t="s">
        <v>25</v>
      </c>
      <c r="E10" s="597"/>
    </row>
    <row r="11" spans="2:7" ht="16.5" customHeight="1" x14ac:dyDescent="0.3">
      <c r="B11" s="465" t="s">
        <v>26</v>
      </c>
      <c r="C11" s="466"/>
      <c r="D11" s="597" t="s">
        <v>27</v>
      </c>
      <c r="E11" s="597"/>
    </row>
    <row r="12" spans="2:7" ht="16.5" customHeight="1" x14ac:dyDescent="0.3">
      <c r="B12" s="110"/>
    </row>
    <row r="13" spans="2:7" ht="16.2" x14ac:dyDescent="0.3">
      <c r="B13" s="289" t="s">
        <v>148</v>
      </c>
      <c r="C13" s="289" t="s">
        <v>468</v>
      </c>
      <c r="D13" s="289" t="s">
        <v>469</v>
      </c>
      <c r="E13" s="289" t="s">
        <v>470</v>
      </c>
    </row>
    <row r="14" spans="2:7" x14ac:dyDescent="0.3">
      <c r="B14" s="293">
        <v>1</v>
      </c>
      <c r="C14" s="294" t="s">
        <v>471</v>
      </c>
      <c r="D14" s="295" t="s">
        <v>472</v>
      </c>
      <c r="E14" s="296" t="s">
        <v>473</v>
      </c>
    </row>
    <row r="15" spans="2:7" x14ac:dyDescent="0.3">
      <c r="B15" s="293">
        <v>2</v>
      </c>
      <c r="C15" s="297" t="s">
        <v>474</v>
      </c>
      <c r="D15" s="298" t="s">
        <v>151</v>
      </c>
      <c r="E15" s="296" t="s">
        <v>473</v>
      </c>
    </row>
    <row r="16" spans="2:7" x14ac:dyDescent="0.3">
      <c r="B16" s="293">
        <v>3</v>
      </c>
      <c r="C16" s="297" t="s">
        <v>475</v>
      </c>
      <c r="D16" s="298" t="s">
        <v>151</v>
      </c>
      <c r="E16" s="296" t="s">
        <v>473</v>
      </c>
      <c r="F16" s="290"/>
    </row>
    <row r="17" spans="2:7" x14ac:dyDescent="0.3">
      <c r="B17" s="293">
        <v>4</v>
      </c>
      <c r="C17" s="297" t="s">
        <v>476</v>
      </c>
      <c r="D17" s="298" t="s">
        <v>151</v>
      </c>
      <c r="E17" s="296" t="s">
        <v>473</v>
      </c>
      <c r="F17" s="291"/>
    </row>
    <row r="18" spans="2:7" x14ac:dyDescent="0.3">
      <c r="B18" s="293">
        <v>5</v>
      </c>
      <c r="C18" s="297" t="s">
        <v>477</v>
      </c>
      <c r="D18" s="298" t="s">
        <v>151</v>
      </c>
      <c r="E18" s="296" t="s">
        <v>473</v>
      </c>
    </row>
    <row r="19" spans="2:7" x14ac:dyDescent="0.3">
      <c r="B19" s="293">
        <v>6</v>
      </c>
      <c r="C19" s="297" t="s">
        <v>478</v>
      </c>
      <c r="D19" s="298" t="s">
        <v>472</v>
      </c>
      <c r="E19" s="296" t="s">
        <v>479</v>
      </c>
    </row>
    <row r="20" spans="2:7" x14ac:dyDescent="0.3">
      <c r="B20" s="293">
        <v>7</v>
      </c>
      <c r="C20" s="297" t="s">
        <v>480</v>
      </c>
      <c r="D20" s="298" t="s">
        <v>151</v>
      </c>
      <c r="E20" s="296" t="s">
        <v>479</v>
      </c>
    </row>
    <row r="21" spans="2:7" x14ac:dyDescent="0.3">
      <c r="B21" s="293">
        <v>8</v>
      </c>
      <c r="C21" s="297" t="s">
        <v>481</v>
      </c>
      <c r="D21" s="298" t="s">
        <v>151</v>
      </c>
      <c r="E21" s="296" t="s">
        <v>479</v>
      </c>
      <c r="F21" s="290"/>
    </row>
    <row r="22" spans="2:7" x14ac:dyDescent="0.3">
      <c r="B22" s="293">
        <v>9</v>
      </c>
      <c r="C22" s="302" t="s">
        <v>482</v>
      </c>
      <c r="D22" s="303" t="s">
        <v>151</v>
      </c>
      <c r="E22" s="304" t="s">
        <v>479</v>
      </c>
      <c r="F22" s="172"/>
    </row>
    <row r="23" spans="2:7" x14ac:dyDescent="0.3">
      <c r="B23" s="308">
        <v>10</v>
      </c>
      <c r="C23" s="294" t="s">
        <v>483</v>
      </c>
      <c r="D23" s="295" t="s">
        <v>151</v>
      </c>
      <c r="E23" s="301" t="s">
        <v>479</v>
      </c>
      <c r="F23" s="172"/>
    </row>
    <row r="24" spans="2:7" x14ac:dyDescent="0.3">
      <c r="B24" s="293">
        <v>11</v>
      </c>
      <c r="C24" s="306" t="s">
        <v>484</v>
      </c>
      <c r="D24" s="305" t="s">
        <v>485</v>
      </c>
      <c r="E24" s="307" t="s">
        <v>479</v>
      </c>
      <c r="F24" s="172"/>
      <c r="G24" s="292"/>
    </row>
    <row r="25" spans="2:7" x14ac:dyDescent="0.3">
      <c r="B25" s="293">
        <v>12</v>
      </c>
      <c r="C25" s="299" t="s">
        <v>486</v>
      </c>
      <c r="D25" s="293" t="s">
        <v>249</v>
      </c>
      <c r="E25" s="300" t="s">
        <v>479</v>
      </c>
    </row>
    <row r="26" spans="2:7" x14ac:dyDescent="0.3">
      <c r="B26" s="293">
        <v>13</v>
      </c>
      <c r="C26" s="299" t="s">
        <v>487</v>
      </c>
      <c r="D26" s="293" t="s">
        <v>249</v>
      </c>
      <c r="E26" s="300" t="s">
        <v>479</v>
      </c>
    </row>
    <row r="27" spans="2:7" x14ac:dyDescent="0.3">
      <c r="B27" s="293">
        <v>14</v>
      </c>
      <c r="C27" s="299" t="s">
        <v>488</v>
      </c>
      <c r="D27" s="293" t="s">
        <v>249</v>
      </c>
      <c r="E27" s="300" t="s">
        <v>479</v>
      </c>
    </row>
    <row r="28" spans="2:7" x14ac:dyDescent="0.3">
      <c r="B28" s="293">
        <v>15</v>
      </c>
      <c r="C28" s="299" t="s">
        <v>489</v>
      </c>
      <c r="D28" s="293" t="s">
        <v>249</v>
      </c>
      <c r="E28" s="300" t="s">
        <v>479</v>
      </c>
    </row>
    <row r="29" spans="2:7" x14ac:dyDescent="0.3">
      <c r="B29" s="293">
        <v>16</v>
      </c>
      <c r="C29" s="299" t="s">
        <v>490</v>
      </c>
      <c r="D29" s="293" t="s">
        <v>249</v>
      </c>
      <c r="E29" s="300" t="s">
        <v>479</v>
      </c>
    </row>
    <row r="30" spans="2:7" x14ac:dyDescent="0.3">
      <c r="B30" s="293">
        <v>17</v>
      </c>
      <c r="C30" s="299" t="s">
        <v>491</v>
      </c>
      <c r="D30" s="293" t="s">
        <v>249</v>
      </c>
      <c r="E30" s="300" t="s">
        <v>479</v>
      </c>
    </row>
    <row r="31" spans="2:7" x14ac:dyDescent="0.3">
      <c r="B31" s="293">
        <v>18</v>
      </c>
      <c r="C31" s="299" t="s">
        <v>492</v>
      </c>
      <c r="D31" s="293" t="s">
        <v>493</v>
      </c>
      <c r="E31" s="300" t="s">
        <v>479</v>
      </c>
    </row>
    <row r="32" spans="2:7" x14ac:dyDescent="0.3">
      <c r="B32" s="293">
        <v>19</v>
      </c>
      <c r="C32" s="299" t="s">
        <v>494</v>
      </c>
      <c r="D32" s="293" t="s">
        <v>493</v>
      </c>
      <c r="E32" s="300" t="s">
        <v>479</v>
      </c>
    </row>
    <row r="33" spans="2:5" x14ac:dyDescent="0.3">
      <c r="B33" s="293">
        <v>20</v>
      </c>
      <c r="C33" s="299" t="s">
        <v>495</v>
      </c>
      <c r="D33" s="293" t="s">
        <v>485</v>
      </c>
      <c r="E33" s="300" t="s">
        <v>496</v>
      </c>
    </row>
    <row r="34" spans="2:5" x14ac:dyDescent="0.3">
      <c r="B34" s="293">
        <v>21</v>
      </c>
      <c r="C34" s="299" t="s">
        <v>497</v>
      </c>
      <c r="D34" s="293" t="s">
        <v>249</v>
      </c>
      <c r="E34" s="300" t="s">
        <v>496</v>
      </c>
    </row>
    <row r="35" spans="2:5" x14ac:dyDescent="0.3">
      <c r="B35" s="293">
        <v>22</v>
      </c>
      <c r="C35" s="299" t="s">
        <v>498</v>
      </c>
      <c r="D35" s="293" t="s">
        <v>249</v>
      </c>
      <c r="E35" s="300" t="s">
        <v>496</v>
      </c>
    </row>
    <row r="36" spans="2:5" x14ac:dyDescent="0.3">
      <c r="B36" s="293">
        <v>23</v>
      </c>
      <c r="C36" s="299" t="s">
        <v>499</v>
      </c>
      <c r="D36" s="293" t="s">
        <v>249</v>
      </c>
      <c r="E36" s="300" t="s">
        <v>496</v>
      </c>
    </row>
    <row r="37" spans="2:5" x14ac:dyDescent="0.3">
      <c r="B37" s="293">
        <v>24</v>
      </c>
      <c r="C37" s="299" t="s">
        <v>500</v>
      </c>
      <c r="D37" s="293" t="s">
        <v>501</v>
      </c>
      <c r="E37" s="296" t="s">
        <v>502</v>
      </c>
    </row>
    <row r="38" spans="2:5" x14ac:dyDescent="0.3">
      <c r="B38" s="293">
        <v>25</v>
      </c>
      <c r="C38" s="299" t="s">
        <v>503</v>
      </c>
      <c r="D38" s="293" t="s">
        <v>504</v>
      </c>
      <c r="E38" s="296" t="s">
        <v>502</v>
      </c>
    </row>
    <row r="39" spans="2:5" x14ac:dyDescent="0.3">
      <c r="B39" s="293">
        <v>26</v>
      </c>
      <c r="C39" s="299" t="s">
        <v>505</v>
      </c>
      <c r="D39" s="293" t="s">
        <v>504</v>
      </c>
      <c r="E39" s="299" t="s">
        <v>502</v>
      </c>
    </row>
    <row r="40" spans="2:5" x14ac:dyDescent="0.3">
      <c r="B40" s="293">
        <v>27</v>
      </c>
      <c r="C40" s="299" t="s">
        <v>506</v>
      </c>
      <c r="D40" s="293" t="s">
        <v>452</v>
      </c>
      <c r="E40" s="299" t="s">
        <v>96</v>
      </c>
    </row>
    <row r="41" spans="2:5" x14ac:dyDescent="0.3">
      <c r="B41" s="293">
        <v>28</v>
      </c>
      <c r="C41" s="299" t="s">
        <v>507</v>
      </c>
      <c r="D41" s="293" t="s">
        <v>452</v>
      </c>
      <c r="E41" s="299" t="s">
        <v>96</v>
      </c>
    </row>
    <row r="42" spans="2:5" x14ac:dyDescent="0.3">
      <c r="B42" s="293">
        <v>29</v>
      </c>
      <c r="C42" s="299" t="s">
        <v>508</v>
      </c>
      <c r="D42" s="293" t="s">
        <v>452</v>
      </c>
      <c r="E42" s="299" t="s">
        <v>96</v>
      </c>
    </row>
    <row r="43" spans="2:5" x14ac:dyDescent="0.3">
      <c r="B43" s="293">
        <v>30</v>
      </c>
      <c r="C43" s="299" t="s">
        <v>509</v>
      </c>
      <c r="D43" s="293" t="s">
        <v>452</v>
      </c>
      <c r="E43" s="299" t="s">
        <v>96</v>
      </c>
    </row>
    <row r="44" spans="2:5" x14ac:dyDescent="0.3">
      <c r="B44" s="293">
        <v>31</v>
      </c>
      <c r="C44" s="299" t="s">
        <v>510</v>
      </c>
      <c r="D44" s="293" t="s">
        <v>452</v>
      </c>
      <c r="E44" s="299" t="s">
        <v>96</v>
      </c>
    </row>
    <row r="45" spans="2:5" x14ac:dyDescent="0.3">
      <c r="B45" s="293">
        <v>32</v>
      </c>
      <c r="C45" s="299" t="s">
        <v>511</v>
      </c>
      <c r="D45" s="293" t="s">
        <v>452</v>
      </c>
      <c r="E45" s="299" t="s">
        <v>96</v>
      </c>
    </row>
    <row r="46" spans="2:5" x14ac:dyDescent="0.3">
      <c r="B46" s="293">
        <v>33</v>
      </c>
      <c r="C46" s="299" t="s">
        <v>512</v>
      </c>
      <c r="D46" s="293" t="s">
        <v>452</v>
      </c>
      <c r="E46" s="299" t="s">
        <v>96</v>
      </c>
    </row>
    <row r="47" spans="2:5" x14ac:dyDescent="0.3">
      <c r="B47" s="293">
        <v>34</v>
      </c>
      <c r="C47" s="299" t="s">
        <v>513</v>
      </c>
      <c r="D47" s="293" t="s">
        <v>452</v>
      </c>
      <c r="E47" s="299" t="s">
        <v>96</v>
      </c>
    </row>
    <row r="48" spans="2:5" x14ac:dyDescent="0.3">
      <c r="B48" s="293">
        <v>35</v>
      </c>
      <c r="C48" s="299" t="s">
        <v>514</v>
      </c>
      <c r="D48" s="293" t="s">
        <v>452</v>
      </c>
      <c r="E48" s="299" t="s">
        <v>96</v>
      </c>
    </row>
    <row r="49" spans="2:5" x14ac:dyDescent="0.3">
      <c r="B49" s="293">
        <v>36</v>
      </c>
      <c r="C49" s="299" t="s">
        <v>515</v>
      </c>
      <c r="D49" s="293" t="s">
        <v>452</v>
      </c>
      <c r="E49" s="299" t="s">
        <v>96</v>
      </c>
    </row>
    <row r="50" spans="2:5" x14ac:dyDescent="0.3">
      <c r="B50" s="293">
        <v>37</v>
      </c>
      <c r="C50" s="299" t="s">
        <v>516</v>
      </c>
      <c r="D50" s="293" t="s">
        <v>452</v>
      </c>
      <c r="E50" s="299" t="s">
        <v>96</v>
      </c>
    </row>
    <row r="51" spans="2:5" x14ac:dyDescent="0.3">
      <c r="B51" s="293">
        <v>38</v>
      </c>
      <c r="C51" s="299" t="s">
        <v>517</v>
      </c>
      <c r="D51" s="293" t="s">
        <v>452</v>
      </c>
      <c r="E51" s="299" t="s">
        <v>96</v>
      </c>
    </row>
  </sheetData>
  <autoFilter ref="B13:E13" xr:uid="{10C52E18-18D3-413D-AAA9-E06FED613407}"/>
  <mergeCells count="3">
    <mergeCell ref="D11:E11"/>
    <mergeCell ref="D10:E10"/>
    <mergeCell ref="B9:E9"/>
  </mergeCells>
  <pageMargins left="0.7" right="0.7" top="0.75" bottom="0.75" header="0.3" footer="0.3"/>
  <pageSetup scale="9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f28d58-7a96-4780-9115-090fbc12842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56029D413344E965C7CF352513E05" ma:contentTypeVersion="10" ma:contentTypeDescription="Create a new document." ma:contentTypeScope="" ma:versionID="dd46991c9bf616eac0a9a5ad6ec7828c">
  <xsd:schema xmlns:xsd="http://www.w3.org/2001/XMLSchema" xmlns:xs="http://www.w3.org/2001/XMLSchema" xmlns:p="http://schemas.microsoft.com/office/2006/metadata/properties" xmlns:ns3="1ff28d58-7a96-4780-9115-090fbc128421" targetNamespace="http://schemas.microsoft.com/office/2006/metadata/properties" ma:root="true" ma:fieldsID="97990c7cca87df40a76b8290e556602e" ns3:_="">
    <xsd:import namespace="1ff28d58-7a96-4780-9115-090fbc1284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28d58-7a96-4780-9115-090fbc1284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D5672-D3EC-4464-AB7D-E608D5938BA3}">
  <ds:schemaRefs>
    <ds:schemaRef ds:uri="http://purl.org/dc/terms/"/>
    <ds:schemaRef ds:uri="http://purl.org/dc/elements/1.1/"/>
    <ds:schemaRef ds:uri="http://purl.org/dc/dcmitype/"/>
    <ds:schemaRef ds:uri="1ff28d58-7a96-4780-9115-090fbc12842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1013AD-5372-467F-B0CA-625E2C8C6E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28d58-7a96-4780-9115-090fbc1284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178B92-3971-4B46-93FA-82CE70351D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9</vt:i4>
      </vt:variant>
      <vt:variant>
        <vt:lpstr>Rentang Bernama</vt:lpstr>
      </vt:variant>
      <vt:variant>
        <vt:i4>9</vt:i4>
      </vt:variant>
    </vt:vector>
  </HeadingPairs>
  <TitlesOfParts>
    <vt:vector size="18" baseType="lpstr">
      <vt:lpstr>Covering Letter </vt:lpstr>
      <vt:lpstr>RECAP</vt:lpstr>
      <vt:lpstr>SC MP</vt:lpstr>
      <vt:lpstr>SERTIFIKASI</vt:lpstr>
      <vt:lpstr>VENDOR</vt:lpstr>
      <vt:lpstr>TOOLS-WORKING</vt:lpstr>
      <vt:lpstr>TOOLS</vt:lpstr>
      <vt:lpstr>TOOLS-PRINT</vt:lpstr>
      <vt:lpstr>LIST MP</vt:lpstr>
      <vt:lpstr>RECAP!Print_Area</vt:lpstr>
      <vt:lpstr>'SC MP'!Print_Area</vt:lpstr>
      <vt:lpstr>SERTIFIKASI!Print_Area</vt:lpstr>
      <vt:lpstr>TOOLS!Print_Area</vt:lpstr>
      <vt:lpstr>'TOOLS-PRINT'!Print_Area</vt:lpstr>
      <vt:lpstr>'TOOLS-WORKING'!Print_Area</vt:lpstr>
      <vt:lpstr>RECAP!Print_Titles</vt:lpstr>
      <vt:lpstr>'TOOLS-PRINT'!Print_Titles</vt:lpstr>
      <vt:lpstr>'TOOLS-WORKING'!Print_Titles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>Muhandis Lawdza'i Putra Sanjaya</cp:lastModifiedBy>
  <cp:revision/>
  <cp:lastPrinted>2025-04-11T08:48:13Z</cp:lastPrinted>
  <dcterms:created xsi:type="dcterms:W3CDTF">2024-12-05T11:18:46Z</dcterms:created>
  <dcterms:modified xsi:type="dcterms:W3CDTF">2025-11-06T09:26:56Z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0x010100E5456029D413344E965C7CF352513E05</vt:lpwstr>
  </property>
</Properties>
</file>