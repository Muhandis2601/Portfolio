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CB39957D-959D-489D-8584-5C3A9422739A}" xr6:coauthVersionLast="47" xr6:coauthVersionMax="47" xr10:uidLastSave="{00000000-0000-0000-0000-000000000000}"/>
  <bookViews>
    <workbookView xWindow="-108" yWindow="-108" windowWidth="23256" windowHeight="12456" activeTab="4" xr2:uid="{55F836EC-E106-42AB-9AF8-0DE7AB2E0CB0}"/>
  </bookViews>
  <sheets>
    <sheet name="Covering Letter " sheetId="3" r:id="rId1"/>
    <sheet name="RECAP" sheetId="7" r:id="rId2"/>
    <sheet name="SC HO" sheetId="1" r:id="rId3"/>
    <sheet name="TOOLS RECAP" sheetId="17" state="hidden" r:id="rId4"/>
    <sheet name="TOOLS RECAP (2)" sheetId="18" r:id="rId5"/>
    <sheet name="SERTIFIKASI" sheetId="14" r:id="rId6"/>
    <sheet name="LIST MP" sheetId="20" r:id="rId7"/>
  </sheets>
  <externalReferences>
    <externalReference r:id="rId8"/>
  </externalReferences>
  <definedNames>
    <definedName name="______________________xlnm.Print_Area_7" localSheetId="3">#REF!</definedName>
    <definedName name="______________________xlnm.Print_Area_7" localSheetId="4">#REF!</definedName>
    <definedName name="______________________xlnm.Print_Area_7">#REF!</definedName>
    <definedName name="_____________________xlnm.Print_Area_7" localSheetId="3">#REF!</definedName>
    <definedName name="_____________________xlnm.Print_Area_7" localSheetId="4">#REF!</definedName>
    <definedName name="_____________________xlnm.Print_Area_7">#REF!</definedName>
    <definedName name="____________________xlnm.Print_Area_7" localSheetId="3">#REF!</definedName>
    <definedName name="____________________xlnm.Print_Area_7" localSheetId="4">#REF!</definedName>
    <definedName name="____________________xlnm.Print_Area_7">#REF!</definedName>
    <definedName name="___________________xlnm.Print_Area_7" localSheetId="3">#REF!</definedName>
    <definedName name="___________________xlnm.Print_Area_7" localSheetId="4">#REF!</definedName>
    <definedName name="___________________xlnm.Print_Area_7">#REF!</definedName>
    <definedName name="__________________xlnm.Print_Area_7" localSheetId="0">#REF!</definedName>
    <definedName name="__________________xlnm.Print_Area_7" localSheetId="1">#REF!</definedName>
    <definedName name="__________________xlnm.Print_Area_7">#REF!</definedName>
    <definedName name="_________________xlnm.Print_Area_7" localSheetId="0">#REF!</definedName>
    <definedName name="_________________xlnm.Print_Area_7" localSheetId="1">#REF!</definedName>
    <definedName name="_________________xlnm.Print_Area_7">#REF!</definedName>
    <definedName name="________________xlnm.Print_Area_7" localSheetId="0">#REF!</definedName>
    <definedName name="________________xlnm.Print_Area_7">#REF!</definedName>
    <definedName name="_______________xlnm.Print_Area_7" localSheetId="1">#REF!</definedName>
    <definedName name="_______________xlnm.Print_Area_7">#REF!</definedName>
    <definedName name="______________xlnm.Print_Area_7" localSheetId="0">#REF!</definedName>
    <definedName name="______________xlnm.Print_Area_7" localSheetId="1">#REF!</definedName>
    <definedName name="______________xlnm.Print_Area_7">#REF!</definedName>
    <definedName name="_____________xlnm.Print_Area_7" localSheetId="0">#REF!</definedName>
    <definedName name="_____________xlnm.Print_Area_7" localSheetId="1">#REF!</definedName>
    <definedName name="_____________xlnm.Print_Area_7">#REF!</definedName>
    <definedName name="____________xlnm.Print_Area_7" localSheetId="1">#REF!</definedName>
    <definedName name="____________xlnm.Print_Area_7">#REF!</definedName>
    <definedName name="___________xlnm.Print_Area_7" localSheetId="1">#REF!</definedName>
    <definedName name="___________xlnm.Print_Area_7">#REF!</definedName>
    <definedName name="__________xlnm.Print_Area_7" localSheetId="1">#REF!</definedName>
    <definedName name="__________xlnm.Print_Area_7">#REF!</definedName>
    <definedName name="_________xlnm.Print_Area_7" localSheetId="0">#REF!</definedName>
    <definedName name="_________xlnm.Print_Area_7" localSheetId="1">#REF!</definedName>
    <definedName name="_________xlnm.Print_Area_7">#REF!</definedName>
    <definedName name="________xlnm.Print_Area_7" localSheetId="1">#REF!</definedName>
    <definedName name="________xlnm.Print_Area_7">#REF!</definedName>
    <definedName name="_______xlnm.Print_Area_7" localSheetId="1">#REF!</definedName>
    <definedName name="_______xlnm.Print_Area_7">#REF!</definedName>
    <definedName name="______xlnm.Print_Area_7" localSheetId="1">#REF!</definedName>
    <definedName name="______xlnm.Print_Area_7">#REF!</definedName>
    <definedName name="_____xlnm.Print_Area_7" localSheetId="1">#REF!</definedName>
    <definedName name="_____xlnm.Print_Area_7">#REF!</definedName>
    <definedName name="____xlnm.Print_Area_7" localSheetId="1">#REF!</definedName>
    <definedName name="____xlnm.Print_Area_7">#REF!</definedName>
    <definedName name="___xlnm.Print_Area_7" localSheetId="1">#REF!</definedName>
    <definedName name="___xlnm.Print_Area_7">#REF!</definedName>
    <definedName name="__xlnm.Print_Area_7" localSheetId="0">#REF!</definedName>
    <definedName name="__xlnm.Print_Area_7" localSheetId="1">#REF!</definedName>
    <definedName name="__xlnm.Print_Area_7" localSheetId="2">#REF!</definedName>
    <definedName name="__xlnm.Print_Area_7" localSheetId="3">#REF!</definedName>
    <definedName name="__xlnm.Print_Area_7" localSheetId="4">#REF!</definedName>
    <definedName name="__xlnm.Print_Area_7">#REF!</definedName>
    <definedName name="_xlnm._FilterDatabase" localSheetId="6" hidden="1">'LIST MP'!$A$13:$WVU$167</definedName>
    <definedName name="_xlnm._FilterDatabase" localSheetId="4" hidden="1">'TOOLS RECAP (2)'!$B$160:$N$180</definedName>
    <definedName name="_xlnm.Print_Area" localSheetId="1">RECAP!$A$1:$G$50</definedName>
    <definedName name="_xlnm.Print_Area" localSheetId="2">'SC HO'!$B$2:$O$42</definedName>
    <definedName name="_xlnm.Print_Area" localSheetId="3">'TOOLS RECAP'!$B$2:$I$219</definedName>
    <definedName name="_xlnm.Print_Area" localSheetId="4">'TOOLS RECAP (2)'!$B$2:$L$179</definedName>
    <definedName name="_xlnm.Print_Titles" localSheetId="6">'LIST MP'!$13:$13</definedName>
    <definedName name="_xlnm.Print_Titles" localSheetId="3">'TOOLS RECAP'!$9:$9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8" l="1"/>
  <c r="I65" i="18"/>
  <c r="K16" i="18"/>
  <c r="K18" i="18"/>
  <c r="O97" i="18"/>
  <c r="N97" i="18"/>
  <c r="K96" i="18"/>
  <c r="M140" i="18"/>
  <c r="P141" i="18" l="1"/>
  <c r="M141" i="18" l="1"/>
  <c r="M180" i="18" s="1"/>
  <c r="M139" i="18"/>
  <c r="M138" i="18"/>
  <c r="M137" i="18"/>
  <c r="M136" i="18"/>
  <c r="M135" i="18"/>
  <c r="M134" i="18"/>
  <c r="M133" i="18"/>
  <c r="M132" i="18"/>
  <c r="M131" i="18"/>
  <c r="M130" i="18"/>
  <c r="M129" i="18"/>
  <c r="M128" i="18"/>
  <c r="M127" i="18"/>
  <c r="M126" i="18"/>
  <c r="M157" i="18"/>
  <c r="K27" i="7"/>
  <c r="L27" i="7"/>
  <c r="O60" i="1"/>
  <c r="K180" i="18"/>
  <c r="M179" i="18"/>
  <c r="M122" i="18"/>
  <c r="O59" i="1"/>
  <c r="Q142" i="18"/>
  <c r="L16" i="1"/>
  <c r="K16" i="1"/>
  <c r="J16" i="1"/>
  <c r="I16" i="1"/>
  <c r="H16" i="1"/>
  <c r="G16" i="1"/>
  <c r="F16" i="1"/>
  <c r="N180" i="18" l="1"/>
  <c r="K28" i="7"/>
  <c r="K29" i="7" s="1"/>
  <c r="O57" i="1"/>
  <c r="G57" i="1"/>
  <c r="H57" i="1"/>
  <c r="I57" i="1"/>
  <c r="J57" i="1"/>
  <c r="K57" i="1"/>
  <c r="L57" i="1"/>
  <c r="M57" i="1"/>
  <c r="N57" i="1"/>
  <c r="M58" i="1"/>
  <c r="F57" i="1"/>
  <c r="C6" i="20"/>
  <c r="H46" i="1"/>
  <c r="H45" i="1"/>
  <c r="I126" i="18"/>
  <c r="K126" i="18" s="1"/>
  <c r="AF13" i="7"/>
  <c r="I15" i="18"/>
  <c r="K15" i="18" s="1"/>
  <c r="I172" i="18"/>
  <c r="K172" i="18" s="1"/>
  <c r="I171" i="18"/>
  <c r="K171" i="18" s="1"/>
  <c r="I170" i="18"/>
  <c r="K170" i="18" s="1"/>
  <c r="I169" i="18"/>
  <c r="K169" i="18" s="1"/>
  <c r="I168" i="18"/>
  <c r="K168" i="18" s="1"/>
  <c r="I167" i="18"/>
  <c r="K167" i="18" s="1"/>
  <c r="I166" i="18"/>
  <c r="K166" i="18" s="1"/>
  <c r="I165" i="18"/>
  <c r="K165" i="18" s="1"/>
  <c r="I164" i="18"/>
  <c r="K164" i="18" s="1"/>
  <c r="I163" i="18"/>
  <c r="I162" i="18"/>
  <c r="K162" i="18" s="1"/>
  <c r="K163" i="18"/>
  <c r="I161" i="18"/>
  <c r="K161" i="18"/>
  <c r="I155" i="18"/>
  <c r="K155" i="18" s="1"/>
  <c r="I154" i="18"/>
  <c r="K154" i="18" s="1"/>
  <c r="I151" i="18"/>
  <c r="G151" i="18"/>
  <c r="I152" i="18"/>
  <c r="K152" i="18" s="1"/>
  <c r="I153" i="18"/>
  <c r="K153" i="18"/>
  <c r="K156" i="18"/>
  <c r="K127" i="18"/>
  <c r="K128" i="18"/>
  <c r="K129" i="18"/>
  <c r="K130" i="18"/>
  <c r="K131" i="18"/>
  <c r="K132" i="18"/>
  <c r="K133" i="18"/>
  <c r="K134" i="18"/>
  <c r="K135" i="18"/>
  <c r="K136" i="18"/>
  <c r="I140" i="18"/>
  <c r="K140" i="18" s="1"/>
  <c r="I138" i="18"/>
  <c r="K138" i="18"/>
  <c r="I137" i="18"/>
  <c r="K137" i="18" s="1"/>
  <c r="I60" i="18"/>
  <c r="K60" i="18"/>
  <c r="I16" i="18"/>
  <c r="I17" i="18"/>
  <c r="K17" i="18" s="1"/>
  <c r="I18" i="18"/>
  <c r="I19" i="18"/>
  <c r="K19" i="18"/>
  <c r="K20" i="18"/>
  <c r="I21" i="18"/>
  <c r="K21" i="18" s="1"/>
  <c r="I22" i="18"/>
  <c r="K22" i="18" s="1"/>
  <c r="I23" i="18"/>
  <c r="K23" i="18" s="1"/>
  <c r="I24" i="18"/>
  <c r="K24" i="18" s="1"/>
  <c r="I25" i="18"/>
  <c r="K25" i="18"/>
  <c r="I26" i="18"/>
  <c r="K26" i="18" s="1"/>
  <c r="I27" i="18"/>
  <c r="K27" i="18" s="1"/>
  <c r="I28" i="18"/>
  <c r="K28" i="18"/>
  <c r="I29" i="18"/>
  <c r="K29" i="18" s="1"/>
  <c r="I30" i="18"/>
  <c r="K30" i="18"/>
  <c r="I31" i="18"/>
  <c r="K31" i="18" s="1"/>
  <c r="I32" i="18"/>
  <c r="K32" i="18"/>
  <c r="I33" i="18"/>
  <c r="K33" i="18" s="1"/>
  <c r="I34" i="18"/>
  <c r="K34" i="18"/>
  <c r="I35" i="18"/>
  <c r="K35" i="18" s="1"/>
  <c r="I36" i="18"/>
  <c r="K36" i="18" s="1"/>
  <c r="I37" i="18"/>
  <c r="K37" i="18" s="1"/>
  <c r="I38" i="18"/>
  <c r="K38" i="18"/>
  <c r="I39" i="18"/>
  <c r="K39" i="18"/>
  <c r="I40" i="18"/>
  <c r="K40" i="18" s="1"/>
  <c r="I41" i="18"/>
  <c r="K41" i="18" s="1"/>
  <c r="I42" i="18"/>
  <c r="K42" i="18"/>
  <c r="I43" i="18"/>
  <c r="K43" i="18" s="1"/>
  <c r="I44" i="18"/>
  <c r="K44" i="18"/>
  <c r="I45" i="18"/>
  <c r="K45" i="18"/>
  <c r="I46" i="18"/>
  <c r="K46" i="18" s="1"/>
  <c r="K47" i="18"/>
  <c r="I48" i="18"/>
  <c r="K48" i="18"/>
  <c r="I49" i="18"/>
  <c r="K49" i="18" s="1"/>
  <c r="I50" i="18"/>
  <c r="K50" i="18"/>
  <c r="I51" i="18"/>
  <c r="K51" i="18" s="1"/>
  <c r="I52" i="18"/>
  <c r="K52" i="18" s="1"/>
  <c r="I53" i="18"/>
  <c r="K53" i="18" s="1"/>
  <c r="I54" i="18"/>
  <c r="K54" i="18"/>
  <c r="I55" i="18"/>
  <c r="K55" i="18"/>
  <c r="I56" i="18"/>
  <c r="K56" i="18" s="1"/>
  <c r="I139" i="18"/>
  <c r="K139" i="18"/>
  <c r="I61" i="18"/>
  <c r="I62" i="18"/>
  <c r="K62" i="18" s="1"/>
  <c r="I63" i="18"/>
  <c r="K63" i="18" s="1"/>
  <c r="I64" i="18"/>
  <c r="K64" i="18" s="1"/>
  <c r="K65" i="18"/>
  <c r="I66" i="18"/>
  <c r="K66" i="18" s="1"/>
  <c r="I67" i="18"/>
  <c r="K67" i="18" s="1"/>
  <c r="I68" i="18"/>
  <c r="K68" i="18" s="1"/>
  <c r="I69" i="18"/>
  <c r="K69" i="18" s="1"/>
  <c r="I70" i="18"/>
  <c r="K70" i="18" s="1"/>
  <c r="I71" i="18"/>
  <c r="K71" i="18" s="1"/>
  <c r="I72" i="18"/>
  <c r="K72" i="18" s="1"/>
  <c r="I73" i="18"/>
  <c r="K73" i="18" s="1"/>
  <c r="I74" i="18"/>
  <c r="K74" i="18" s="1"/>
  <c r="I75" i="18"/>
  <c r="K75" i="18" s="1"/>
  <c r="I76" i="18"/>
  <c r="K76" i="18" s="1"/>
  <c r="I77" i="18"/>
  <c r="K77" i="18" s="1"/>
  <c r="I78" i="18"/>
  <c r="I79" i="18"/>
  <c r="K79" i="18" s="1"/>
  <c r="I80" i="18"/>
  <c r="K80" i="18" s="1"/>
  <c r="I81" i="18"/>
  <c r="K81" i="18" s="1"/>
  <c r="I82" i="18"/>
  <c r="K82" i="18" s="1"/>
  <c r="I83" i="18"/>
  <c r="K83" i="18" s="1"/>
  <c r="I84" i="18"/>
  <c r="K84" i="18" s="1"/>
  <c r="I85" i="18"/>
  <c r="K85" i="18" s="1"/>
  <c r="I86" i="18"/>
  <c r="K86" i="18" s="1"/>
  <c r="I87" i="18"/>
  <c r="K87" i="18" s="1"/>
  <c r="I88" i="18"/>
  <c r="K88" i="18" s="1"/>
  <c r="I89" i="18"/>
  <c r="K89" i="18" s="1"/>
  <c r="I90" i="18"/>
  <c r="K90" i="18" s="1"/>
  <c r="I91" i="18"/>
  <c r="K91" i="18" s="1"/>
  <c r="I92" i="18"/>
  <c r="K92" i="18" s="1"/>
  <c r="I93" i="18"/>
  <c r="K93" i="18" s="1"/>
  <c r="I94" i="18"/>
  <c r="K94" i="18" s="1"/>
  <c r="I95" i="18"/>
  <c r="K95" i="18" s="1"/>
  <c r="I97" i="18"/>
  <c r="K97" i="18" s="1"/>
  <c r="I98" i="18"/>
  <c r="K98" i="18" s="1"/>
  <c r="I99" i="18"/>
  <c r="K99" i="18" s="1"/>
  <c r="I100" i="18"/>
  <c r="K100" i="18" s="1"/>
  <c r="I101" i="18"/>
  <c r="K101" i="18" s="1"/>
  <c r="I102" i="18"/>
  <c r="K102" i="18" s="1"/>
  <c r="I103" i="18"/>
  <c r="K103" i="18" s="1"/>
  <c r="I104" i="18"/>
  <c r="K104" i="18" s="1"/>
  <c r="I105" i="18"/>
  <c r="K105" i="18" s="1"/>
  <c r="I106" i="18"/>
  <c r="K106" i="18" s="1"/>
  <c r="I107" i="18"/>
  <c r="K107" i="18" s="1"/>
  <c r="I108" i="18"/>
  <c r="K108" i="18" s="1"/>
  <c r="I109" i="18"/>
  <c r="K109" i="18" s="1"/>
  <c r="I110" i="18"/>
  <c r="K110" i="18" s="1"/>
  <c r="I111" i="18"/>
  <c r="K111" i="18" s="1"/>
  <c r="I112" i="18"/>
  <c r="K112" i="18" s="1"/>
  <c r="I113" i="18"/>
  <c r="K113" i="18" s="1"/>
  <c r="I114" i="18"/>
  <c r="K114" i="18" s="1"/>
  <c r="I115" i="18"/>
  <c r="K115" i="18" s="1"/>
  <c r="I116" i="18"/>
  <c r="K116" i="18" s="1"/>
  <c r="I117" i="18"/>
  <c r="K117" i="18" s="1"/>
  <c r="I118" i="18"/>
  <c r="K118" i="18" s="1"/>
  <c r="I119" i="18"/>
  <c r="K119" i="18" s="1"/>
  <c r="I120" i="18"/>
  <c r="K120" i="18" s="1"/>
  <c r="I121" i="18"/>
  <c r="K121" i="18" s="1"/>
  <c r="K61" i="18"/>
  <c r="K78" i="18"/>
  <c r="H41" i="1"/>
  <c r="D5" i="18"/>
  <c r="AF17" i="7"/>
  <c r="AF16" i="7"/>
  <c r="AF15" i="7"/>
  <c r="U40" i="7"/>
  <c r="K154" i="17"/>
  <c r="K152" i="17"/>
  <c r="K153" i="17"/>
  <c r="F171" i="17"/>
  <c r="O54" i="1"/>
  <c r="G16" i="17"/>
  <c r="G152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6" i="17"/>
  <c r="G157" i="17"/>
  <c r="G171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88" i="17"/>
  <c r="G219" i="17"/>
  <c r="F152" i="17"/>
  <c r="F188" i="17"/>
  <c r="F219" i="17"/>
  <c r="F46" i="7"/>
  <c r="C6" i="17"/>
  <c r="N37" i="1"/>
  <c r="N58" i="1" s="1"/>
  <c r="M37" i="1"/>
  <c r="M38" i="1" s="1"/>
  <c r="M39" i="1" s="1"/>
  <c r="M42" i="1" s="1"/>
  <c r="L37" i="1"/>
  <c r="L38" i="1" s="1"/>
  <c r="L39" i="1" s="1"/>
  <c r="L42" i="1" s="1"/>
  <c r="AD16" i="7" s="1"/>
  <c r="K37" i="1"/>
  <c r="K58" i="1" s="1"/>
  <c r="J37" i="1"/>
  <c r="J58" i="1" s="1"/>
  <c r="I37" i="1"/>
  <c r="I58" i="1" s="1"/>
  <c r="H37" i="1"/>
  <c r="H58" i="1" s="1"/>
  <c r="G37" i="1"/>
  <c r="G38" i="1" s="1"/>
  <c r="G39" i="1" s="1"/>
  <c r="G42" i="1" s="1"/>
  <c r="F37" i="1"/>
  <c r="F38" i="1" s="1"/>
  <c r="F39" i="1" s="1"/>
  <c r="F42" i="1" s="1"/>
  <c r="F9" i="14"/>
  <c r="F10" i="14"/>
  <c r="F11" i="14"/>
  <c r="F28" i="1"/>
  <c r="F23" i="1"/>
  <c r="G28" i="1"/>
  <c r="H28" i="1"/>
  <c r="G15" i="1"/>
  <c r="G14" i="1"/>
  <c r="G17" i="1"/>
  <c r="G18" i="1"/>
  <c r="G31" i="1"/>
  <c r="G23" i="1"/>
  <c r="H15" i="1"/>
  <c r="H17" i="1"/>
  <c r="H18" i="1"/>
  <c r="H14" i="1"/>
  <c r="H20" i="1"/>
  <c r="H22" i="1"/>
  <c r="H19" i="1"/>
  <c r="H31" i="1"/>
  <c r="H23" i="1"/>
  <c r="I15" i="1"/>
  <c r="I18" i="1"/>
  <c r="I20" i="1"/>
  <c r="I22" i="1"/>
  <c r="I19" i="1"/>
  <c r="I31" i="1"/>
  <c r="I23" i="1"/>
  <c r="J15" i="1"/>
  <c r="J20" i="1"/>
  <c r="J22" i="1"/>
  <c r="J19" i="1"/>
  <c r="J31" i="1"/>
  <c r="J23" i="1"/>
  <c r="K15" i="1"/>
  <c r="K17" i="1"/>
  <c r="K20" i="1"/>
  <c r="K22" i="1"/>
  <c r="K19" i="1"/>
  <c r="K31" i="1"/>
  <c r="K23" i="1"/>
  <c r="L15" i="1"/>
  <c r="L18" i="1"/>
  <c r="L28" i="1"/>
  <c r="L31" i="1"/>
  <c r="L23" i="1"/>
  <c r="M15" i="1"/>
  <c r="M18" i="1"/>
  <c r="M28" i="1"/>
  <c r="M30" i="1"/>
  <c r="M31" i="1"/>
  <c r="M23" i="1"/>
  <c r="N15" i="1"/>
  <c r="N17" i="1"/>
  <c r="N16" i="1"/>
  <c r="N20" i="1"/>
  <c r="P12" i="1"/>
  <c r="N22" i="1"/>
  <c r="N19" i="1"/>
  <c r="N28" i="1"/>
  <c r="N31" i="1"/>
  <c r="N23" i="1"/>
  <c r="F15" i="1"/>
  <c r="F17" i="1"/>
  <c r="F20" i="1"/>
  <c r="F22" i="1"/>
  <c r="F19" i="1"/>
  <c r="F31" i="1"/>
  <c r="F8" i="14"/>
  <c r="F7" i="14"/>
  <c r="F6" i="14"/>
  <c r="F4" i="14"/>
  <c r="F5" i="14"/>
  <c r="R29" i="1"/>
  <c r="R28" i="1"/>
  <c r="R27" i="1"/>
  <c r="R26" i="1"/>
  <c r="R25" i="1"/>
  <c r="R30" i="1"/>
  <c r="P22" i="1"/>
  <c r="P13" i="1"/>
  <c r="P11" i="1"/>
  <c r="T19" i="7"/>
  <c r="O41" i="1"/>
  <c r="C6" i="1"/>
  <c r="C6" i="7"/>
  <c r="P24" i="1"/>
  <c r="F47" i="7"/>
  <c r="F40" i="7"/>
  <c r="B47" i="7"/>
  <c r="B46" i="7"/>
  <c r="O55" i="1"/>
  <c r="O48" i="1"/>
  <c r="B54" i="1"/>
  <c r="B48" i="1"/>
  <c r="H36" i="1"/>
  <c r="G36" i="1"/>
  <c r="P10" i="1"/>
  <c r="M17" i="1"/>
  <c r="L17" i="1"/>
  <c r="G20" i="1"/>
  <c r="G22" i="1"/>
  <c r="G19" i="1"/>
  <c r="M16" i="1"/>
  <c r="L14" i="1"/>
  <c r="L36" i="1"/>
  <c r="N14" i="1"/>
  <c r="N36" i="1"/>
  <c r="M20" i="1"/>
  <c r="M22" i="1"/>
  <c r="M19" i="1"/>
  <c r="L20" i="1"/>
  <c r="L22" i="1"/>
  <c r="L19" i="1"/>
  <c r="K14" i="1"/>
  <c r="K36" i="1"/>
  <c r="J18" i="1"/>
  <c r="I17" i="1"/>
  <c r="I14" i="1"/>
  <c r="I36" i="1"/>
  <c r="F18" i="1"/>
  <c r="F14" i="1"/>
  <c r="F36" i="1"/>
  <c r="N18" i="1"/>
  <c r="M14" i="1"/>
  <c r="K18" i="1"/>
  <c r="J17" i="1"/>
  <c r="J14" i="1"/>
  <c r="J36" i="1"/>
  <c r="N38" i="1"/>
  <c r="N39" i="1"/>
  <c r="N42" i="1" s="1"/>
  <c r="K38" i="1"/>
  <c r="K39" i="1" s="1"/>
  <c r="K42" i="1" s="1"/>
  <c r="M36" i="1"/>
  <c r="AF18" i="7"/>
  <c r="K151" i="18" l="1"/>
  <c r="K141" i="18"/>
  <c r="AF23" i="7" s="1"/>
  <c r="K157" i="18"/>
  <c r="AF24" i="7" s="1"/>
  <c r="K179" i="18"/>
  <c r="AF25" i="7" s="1"/>
  <c r="K122" i="18"/>
  <c r="AF21" i="7" s="1"/>
  <c r="I179" i="18"/>
  <c r="M142" i="18"/>
  <c r="J38" i="1"/>
  <c r="J39" i="1" s="1"/>
  <c r="J42" i="1" s="1"/>
  <c r="G58" i="1"/>
  <c r="I38" i="1"/>
  <c r="I39" i="1" s="1"/>
  <c r="I42" i="1" s="1"/>
  <c r="AD14" i="7" s="1"/>
  <c r="AD22" i="7" s="1"/>
  <c r="AG22" i="7" s="1"/>
  <c r="AG14" i="7"/>
  <c r="AD17" i="7"/>
  <c r="AG16" i="7"/>
  <c r="AD24" i="7"/>
  <c r="AD15" i="7"/>
  <c r="F58" i="1"/>
  <c r="H38" i="1"/>
  <c r="H39" i="1" s="1"/>
  <c r="H42" i="1" s="1"/>
  <c r="O42" i="1" s="1"/>
  <c r="L58" i="1"/>
  <c r="P142" i="18" l="1"/>
  <c r="R141" i="18"/>
  <c r="R142" i="18" s="1"/>
  <c r="M143" i="18"/>
  <c r="AG24" i="7"/>
  <c r="O16" i="7" s="1"/>
  <c r="P43" i="1"/>
  <c r="O62" i="1"/>
  <c r="AD13" i="7"/>
  <c r="AD25" i="7"/>
  <c r="AG25" i="7" s="1"/>
  <c r="AG17" i="7"/>
  <c r="O58" i="1"/>
  <c r="AG15" i="7"/>
  <c r="AD23" i="7"/>
  <c r="AG23" i="7" s="1"/>
  <c r="G14" i="7"/>
  <c r="O14" i="7"/>
  <c r="N14" i="7" s="1"/>
  <c r="G16" i="7" l="1"/>
  <c r="U14" i="7"/>
  <c r="V14" i="7" s="1"/>
  <c r="X14" i="7" s="1"/>
  <c r="F14" i="7"/>
  <c r="T23" i="7"/>
  <c r="G15" i="7"/>
  <c r="O15" i="7"/>
  <c r="N15" i="7" s="1"/>
  <c r="T60" i="1"/>
  <c r="U38" i="7"/>
  <c r="O17" i="7"/>
  <c r="N17" i="7" s="1"/>
  <c r="G17" i="7"/>
  <c r="U16" i="7"/>
  <c r="V16" i="7" s="1"/>
  <c r="X16" i="7" s="1"/>
  <c r="T25" i="7"/>
  <c r="U25" i="7" s="1"/>
  <c r="AG13" i="7"/>
  <c r="AD21" i="7"/>
  <c r="AG21" i="7" s="1"/>
  <c r="U39" i="7"/>
  <c r="U41" i="7" l="1"/>
  <c r="F17" i="7"/>
  <c r="U17" i="7"/>
  <c r="V17" i="7" s="1"/>
  <c r="X17" i="7" s="1"/>
  <c r="V25" i="7"/>
  <c r="T24" i="7"/>
  <c r="U15" i="7"/>
  <c r="V15" i="7" s="1"/>
  <c r="X15" i="7" s="1"/>
  <c r="F15" i="7"/>
  <c r="O13" i="7"/>
  <c r="G13" i="7"/>
  <c r="T22" i="7" l="1"/>
  <c r="U13" i="7"/>
  <c r="G19" i="7"/>
  <c r="G20" i="7" s="1"/>
  <c r="L29" i="7" s="1"/>
  <c r="N29" i="7" s="1"/>
  <c r="F13" i="7"/>
  <c r="N13" i="7"/>
  <c r="O19" i="7"/>
  <c r="O20" i="7" s="1"/>
  <c r="D23" i="3" l="1"/>
  <c r="U42" i="7"/>
  <c r="V13" i="7"/>
  <c r="X13" i="7" s="1"/>
  <c r="U19" i="7"/>
  <c r="V19" i="7" s="1"/>
  <c r="X19" i="7" s="1"/>
</calcChain>
</file>

<file path=xl/sharedStrings.xml><?xml version="1.0" encoding="utf-8"?>
<sst xmlns="http://schemas.openxmlformats.org/spreadsheetml/2006/main" count="2225" uniqueCount="616">
  <si>
    <t xml:space="preserve">No.  </t>
  </si>
  <si>
    <t>:</t>
  </si>
  <si>
    <t>CS/0066/2025</t>
  </si>
  <si>
    <t>Perihal</t>
  </si>
  <si>
    <t>Penawaran Harga Jasa Job Supply Services</t>
  </si>
  <si>
    <t>Lampiran</t>
  </si>
  <si>
    <t>4 Lembar</t>
  </si>
  <si>
    <t>Kepada Yth;</t>
  </si>
  <si>
    <t>PT United Tractors Tbk</t>
  </si>
  <si>
    <t>Jl. Raya Bekasi KM 22</t>
  </si>
  <si>
    <t>Kec. Cakung, Kota Jakarta Timur</t>
  </si>
  <si>
    <t>Daerah Khusus Ibukota Jakarta 13910</t>
  </si>
  <si>
    <t xml:space="preserve">Up </t>
  </si>
  <si>
    <t>Ibu Sara Kirsti Loebis</t>
  </si>
  <si>
    <t>Corporate Governance &amp; Sustainability Division Head</t>
  </si>
  <si>
    <t>Dengan hormat,</t>
  </si>
  <si>
    <t>Sehubungan dengan adanya kebutuhan Penyedia Jasa Tenaga Kerja di perusahaan Bapak/Ibu, bersama ini kami sampaikan penawaran dari PT Mitra Bakti UT sebagai berikut:</t>
  </si>
  <si>
    <r>
      <t xml:space="preserve">-  </t>
    </r>
    <r>
      <rPr>
        <b/>
        <sz val="10"/>
        <color indexed="8"/>
        <rFont val="Trebuchet MS"/>
        <family val="2"/>
      </rPr>
      <t xml:space="preserve">Penyedia Jasa Tenaga Kerja </t>
    </r>
    <r>
      <rPr>
        <b/>
        <i/>
        <sz val="10"/>
        <color indexed="8"/>
        <rFont val="Trebuchet MS"/>
        <family val="2"/>
      </rPr>
      <t>(rincian terlampir)</t>
    </r>
  </si>
  <si>
    <t>Rp</t>
  </si>
  <si>
    <t>Note :</t>
  </si>
  <si>
    <t>1.  Harga belum termasuk PPN 11%</t>
  </si>
  <si>
    <t>2.  Harga sudah termasuk peralatan dan chemical untuk Cleaning Service, Pest Control, dan Gondola</t>
  </si>
  <si>
    <t>3.  Harga belum termasuk biaya pembuangan sampah dari TPS</t>
  </si>
  <si>
    <t>4.  Harga tersebut sudah termasuk BPJS Kesehatan, BPJS Ketenagakerjaan (BPJS Jaminan Kecelakaan Kerja,</t>
  </si>
  <si>
    <t xml:space="preserve">     BPJS Jaminan Kematian, BPJS Jaminan Hari Tua, BPJS Jaminan Pensiun), Kompensasi Kerja (PP no 35</t>
  </si>
  <si>
    <t xml:space="preserve">     Tahun 2021), Tunjangan Hari Raya (THR) dan Pakaian Kerja</t>
  </si>
  <si>
    <t>5.  Harga sudah termasuk biaya MCU, kelebihan biaya MCU ditagihkan sesuai aktual dgn Management Fee 5%</t>
  </si>
  <si>
    <t>6.  Perhitungan dan aturan lembur sesuai aturan disnaker</t>
  </si>
  <si>
    <t>7.  Lembur ditagihkan sesuai aktual dengan management fee 5%</t>
  </si>
  <si>
    <t>8.  Alat Pelindung Diri (APD) ditagihkan sesuai aktual dengan management fee 5%</t>
  </si>
  <si>
    <t>9.  Makan disediakan oleh User</t>
  </si>
  <si>
    <t>10. Training ditagihkan sesuai aktual dengan management fee 5%</t>
  </si>
  <si>
    <t>11. Apresiasi akhir tahun tidak termasuk dalam harga, dan akan ditagihkan sesuai aktual dengan Cost of Fund sebesar 3%</t>
  </si>
  <si>
    <t>12. Harga akan disesuaikan setiap tahun berdasarkan kenaikan upah minimum kabupaten/kota (UMK)</t>
  </si>
  <si>
    <t>Demikian surat penawaran ini kami buat, besar harapan kami dapat terjalin kerjasama dengan perusahaan Bapak/ Ibu. Atas perhatian dan kerjasamanya kami ucapkan terima kasih.</t>
  </si>
  <si>
    <t>Hormat Kami,</t>
  </si>
  <si>
    <t>PT Mitra Bakti UT</t>
  </si>
  <si>
    <t>Sandy Yudha S</t>
  </si>
  <si>
    <t>Strategic Business &amp; Sales Division Head</t>
  </si>
  <si>
    <t>Lampiran 1</t>
  </si>
  <si>
    <t xml:space="preserve">No. </t>
  </si>
  <si>
    <t>BIAYA PENYEDIA JASA KEBERSIHAN TAHUN 2025</t>
  </si>
  <si>
    <t>NAMA</t>
  </si>
  <si>
    <t>: PT MITRA BAKTI UT</t>
  </si>
  <si>
    <t>AREA PELAYANAN</t>
  </si>
  <si>
    <t>: PT UNITED TRACTORS TBK</t>
  </si>
  <si>
    <t>NO</t>
  </si>
  <si>
    <t>JOB DESCRIPTION</t>
  </si>
  <si>
    <t>LUAS AREA
(m2)</t>
  </si>
  <si>
    <t>RATE / m2</t>
  </si>
  <si>
    <t>NILAI KONTRAK</t>
  </si>
  <si>
    <t>MP</t>
  </si>
  <si>
    <t>Pek. Tambah</t>
  </si>
  <si>
    <t>Tools</t>
  </si>
  <si>
    <t>Total</t>
  </si>
  <si>
    <t>CLEANING SERVICE</t>
  </si>
  <si>
    <t>UMK dan Inflasi</t>
  </si>
  <si>
    <t>OFFICE BOY</t>
  </si>
  <si>
    <t>UMK, Inflasi, Tambahan 1 MP OB lt 9</t>
  </si>
  <si>
    <t>CLEANING AREA OUTDOOR</t>
  </si>
  <si>
    <t>Peralatan Gardener oleh MBUT</t>
  </si>
  <si>
    <t>PEST CONTROL</t>
  </si>
  <si>
    <t>Ls</t>
  </si>
  <si>
    <t>GONDOLA</t>
  </si>
  <si>
    <t>Selisih Tambahan 1 MP</t>
  </si>
  <si>
    <t>TOTAL</t>
  </si>
  <si>
    <t>PEMBULATAN</t>
  </si>
  <si>
    <t>JUMLAH MP</t>
  </si>
  <si>
    <t>4.   Harga tersebut sudah termasuk BPJS Kesehatan, BPJS Ketenagakerjaan (BPJS Jaminan Kecelakaan Kerja, BPJS Jaminan Kematian</t>
  </si>
  <si>
    <t xml:space="preserve">      BPJS Jaminan Hari Tua, BPJS Jaminan Pensiun), Kompensasi Kerja (PP no 35 Tahun 2021), Tunjangan Hari Raya (THR)</t>
  </si>
  <si>
    <t xml:space="preserve">      dan Pakaian Kerja</t>
  </si>
  <si>
    <t>OH</t>
  </si>
  <si>
    <t>Menyetujui,</t>
  </si>
  <si>
    <t>Fee</t>
  </si>
  <si>
    <t>Lampiran 2</t>
  </si>
  <si>
    <t>No.</t>
  </si>
  <si>
    <t>STRUKTUR BIAYA JASA TENAGA KERJA</t>
  </si>
  <si>
    <t>TAHUN 2025</t>
  </si>
  <si>
    <t>AREA DKI JAKARTA</t>
  </si>
  <si>
    <t>URAIAN</t>
  </si>
  <si>
    <t>CLEANING AREA OUTDOR</t>
  </si>
  <si>
    <t>KETERANGAN</t>
  </si>
  <si>
    <t>KOORDINATOR</t>
  </si>
  <si>
    <t>SUPERVISOR</t>
  </si>
  <si>
    <t>CREW</t>
  </si>
  <si>
    <t>I</t>
  </si>
  <si>
    <t>FIXED COST</t>
  </si>
  <si>
    <t>ok</t>
  </si>
  <si>
    <t>Upah</t>
  </si>
  <si>
    <t>Upah Tenaga Kerja (UMK 2025)</t>
  </si>
  <si>
    <t>BPJS</t>
  </si>
  <si>
    <t>Mengikuti Regulasi Pemerintah (JHT, JKK, JK)</t>
  </si>
  <si>
    <t>THR</t>
  </si>
  <si>
    <t>Upah /12</t>
  </si>
  <si>
    <t>Kompensasi Akhir Kontrak (UUCK)</t>
  </si>
  <si>
    <t>II</t>
  </si>
  <si>
    <t>OVERTIME</t>
  </si>
  <si>
    <t>not ok</t>
  </si>
  <si>
    <t>TUL</t>
  </si>
  <si>
    <t>Upah /173</t>
  </si>
  <si>
    <t>Jam Lembur</t>
  </si>
  <si>
    <t>Sesuai Aktual Dilapangan</t>
  </si>
  <si>
    <t>Upah Lembur</t>
  </si>
  <si>
    <t>Ditagihkan Sesuai Aktual Dengan Management Fee 5%</t>
  </si>
  <si>
    <t>III</t>
  </si>
  <si>
    <t>VARIABLE COST</t>
  </si>
  <si>
    <t>Medical Checkup</t>
  </si>
  <si>
    <t>Kelebihan biaya MCU ditagihkan sesuai aktual</t>
  </si>
  <si>
    <t>ok, (+) item</t>
  </si>
  <si>
    <t>Seragam</t>
  </si>
  <si>
    <t>3xBaju, 3xCelana, Polo Shirt, Sabuk, Sepatu</t>
  </si>
  <si>
    <t>Kemeja</t>
  </si>
  <si>
    <t>APD</t>
  </si>
  <si>
    <t>Celana</t>
  </si>
  <si>
    <t>Uang Makan</t>
  </si>
  <si>
    <t>Disediakan oleh User</t>
  </si>
  <si>
    <t>Kaos Polo</t>
  </si>
  <si>
    <t>Sertifikasi</t>
  </si>
  <si>
    <t>Sabuk</t>
  </si>
  <si>
    <t>Training</t>
  </si>
  <si>
    <t>Sepatu</t>
  </si>
  <si>
    <t>Tunjangan Jabatan</t>
  </si>
  <si>
    <t>Overhead Expenses</t>
  </si>
  <si>
    <t>Biaya Sambung Rasa</t>
  </si>
  <si>
    <t>Biaya Recruitment</t>
  </si>
  <si>
    <t>Biaya Suka Duka</t>
  </si>
  <si>
    <t>Biaya Operational Support</t>
  </si>
  <si>
    <t>TOTAL I + II + III</t>
  </si>
  <si>
    <t>MANAGEMENT FEE</t>
  </si>
  <si>
    <t>SUB TOTAL</t>
  </si>
  <si>
    <t>JUMLAH MANPOWER</t>
  </si>
  <si>
    <t>TOTAL BIAYA MANPOWER</t>
  </si>
  <si>
    <t>A. PERALATAN CLEANING</t>
  </si>
  <si>
    <t>No</t>
  </si>
  <si>
    <t>Keterangan</t>
  </si>
  <si>
    <t>Kuantitas</t>
  </si>
  <si>
    <t>Harga</t>
  </si>
  <si>
    <t>Depr</t>
  </si>
  <si>
    <t>Remarks</t>
  </si>
  <si>
    <t>Mesin Polisher</t>
  </si>
  <si>
    <t>bh</t>
  </si>
  <si>
    <t>by UT</t>
  </si>
  <si>
    <t>Mesin Vacuum 60 L</t>
  </si>
  <si>
    <t>Extractor Sofa Bed</t>
  </si>
  <si>
    <t>Hand Polisher</t>
  </si>
  <si>
    <t>Blower</t>
  </si>
  <si>
    <t>Janitor Cart</t>
  </si>
  <si>
    <t>Air Deodorizer Glade Liquid Ocean Escape 4L</t>
  </si>
  <si>
    <t>Body Bag</t>
  </si>
  <si>
    <t>Botol Sprayer</t>
  </si>
  <si>
    <t>Bucket - Double 2X2,5L</t>
  </si>
  <si>
    <t>Cady Cary</t>
  </si>
  <si>
    <t>Carpet Care Refresh 4L</t>
  </si>
  <si>
    <t>Carpet Care Rugbee Hdssr 4L</t>
  </si>
  <si>
    <t>Carpet Care Rugbee Shampoo 4L</t>
  </si>
  <si>
    <t>Dust Bin 120L</t>
  </si>
  <si>
    <t>Dustpan + Nyloon Broom</t>
  </si>
  <si>
    <t>Dustpan Besar</t>
  </si>
  <si>
    <t>Dustpan Kecil</t>
  </si>
  <si>
    <t>Ember Biru 4L</t>
  </si>
  <si>
    <t>Floor Sealer Finish New Complete 4L</t>
  </si>
  <si>
    <t>Floor Squeegee</t>
  </si>
  <si>
    <t>Floor Stripper Wax Strip 4L</t>
  </si>
  <si>
    <t>Fragrance Oil Sicher Natural Lemongrass 1L</t>
  </si>
  <si>
    <t>Furniture Care Shine Up Premium 2L</t>
  </si>
  <si>
    <t>Furniture Polish Furni Shine</t>
  </si>
  <si>
    <t>Gayung</t>
  </si>
  <si>
    <t>Gel Pengharum Kloset</t>
  </si>
  <si>
    <t>Hand Soap 20L</t>
  </si>
  <si>
    <t>Hand Soap 5L</t>
  </si>
  <si>
    <t>Kamper Isi 5</t>
  </si>
  <si>
    <t>Kanebo</t>
  </si>
  <si>
    <t>Kape 2 Inch</t>
  </si>
  <si>
    <t>Kape 4 Inch</t>
  </si>
  <si>
    <t>Karet Squeegee 1M</t>
  </si>
  <si>
    <t>Kemoceng</t>
  </si>
  <si>
    <t>Kop</t>
  </si>
  <si>
    <t>Kuas 1 Inch</t>
  </si>
  <si>
    <t>Kuas 2 Inch</t>
  </si>
  <si>
    <t>Kuas 4 Inch</t>
  </si>
  <si>
    <t>Lap Kotak</t>
  </si>
  <si>
    <t>Lap Microfiber Biru</t>
  </si>
  <si>
    <t>Lap Microfiber Hijau</t>
  </si>
  <si>
    <t>Lap Microfiber Kuning</t>
  </si>
  <si>
    <t>Lap Microfiber Merah</t>
  </si>
  <si>
    <t>Lobby Duster Frame 60 Inch</t>
  </si>
  <si>
    <t>Lobby Duster Kain 60 Inch</t>
  </si>
  <si>
    <t>Lobby Duster Kain 80 Inch</t>
  </si>
  <si>
    <t>Lobby Duster Set 60 Inch</t>
  </si>
  <si>
    <t>Lobby Duster Set 80 Inch</t>
  </si>
  <si>
    <t>Marble Crystalization Marble Powder</t>
  </si>
  <si>
    <t>Masker Kain</t>
  </si>
  <si>
    <t>Mop Frame</t>
  </si>
  <si>
    <t>Mop Kain Biru</t>
  </si>
  <si>
    <t>Mop Kain Merah</t>
  </si>
  <si>
    <t>Mop Kain Putih</t>
  </si>
  <si>
    <t>Mop Set</t>
  </si>
  <si>
    <t>Neutral Cleaner Expose 4L</t>
  </si>
  <si>
    <t>Neutral Cleaner Marble Klin 4L</t>
  </si>
  <si>
    <t>Nyloon Broom</t>
  </si>
  <si>
    <t>Obat Nyamuk Spray Baygon 600Ml</t>
  </si>
  <si>
    <t>Obat Nyamuk Spray Hit 600Ml</t>
  </si>
  <si>
    <t>Obat Rayap Premise</t>
  </si>
  <si>
    <t>Pad Coklat 17 Inch</t>
  </si>
  <si>
    <t>Pad Hitam 17 Inch</t>
  </si>
  <si>
    <t>Pad Merah 17 Inch</t>
  </si>
  <si>
    <t>Pad Merah 20 Inch</t>
  </si>
  <si>
    <t>Pad Putih 17 Inch</t>
  </si>
  <si>
    <t>Pad Putih 20 Inch</t>
  </si>
  <si>
    <t>Pembersih Kaca Glance Glass Cleaner 4L</t>
  </si>
  <si>
    <t>Pembersih Kaca Strip Powder</t>
  </si>
  <si>
    <t>Pembersih Lantai Brite Plus 4L</t>
  </si>
  <si>
    <t>Pembersih Lantai Dust Way</t>
  </si>
  <si>
    <t>Pembersih Lantai Floor Clean 4L</t>
  </si>
  <si>
    <t>Pembersih Lantai Forward 4L</t>
  </si>
  <si>
    <t>Pembersih Lantai Karbol 4L</t>
  </si>
  <si>
    <t>Pembersih Lantai Neutral Ph Kleen</t>
  </si>
  <si>
    <t>Pembersih Noda Sns 500Ml</t>
  </si>
  <si>
    <t>Pembersih Prime Karpet Extraction</t>
  </si>
  <si>
    <t>Pembersih Toilet Go Getter 4L</t>
  </si>
  <si>
    <t>Pembersih Toilet Pine Trusol 4L</t>
  </si>
  <si>
    <t>Pemutih Pakaian Bayclin 1L</t>
  </si>
  <si>
    <t>Pengharum Pakaian Downy 1350Ml</t>
  </si>
  <si>
    <t>Pengharum Pakaian Downy 950Ml</t>
  </si>
  <si>
    <t>Pengkilap Lantai Hi Gloss</t>
  </si>
  <si>
    <t>Plastik Sampah Hijau 100X120</t>
  </si>
  <si>
    <t>Plastik Sampah Hijau 60X100</t>
  </si>
  <si>
    <t>Plastik Sampah Hijau 60X80</t>
  </si>
  <si>
    <t>Plastik Sampah Hijau 90X120</t>
  </si>
  <si>
    <t>Plastik Sampah Hitam 100X120</t>
  </si>
  <si>
    <t>Plastik Sampah Hitam 60X100</t>
  </si>
  <si>
    <t>Plastik Sampah Hitam 60X80</t>
  </si>
  <si>
    <t>Plastik Sampah Hitam 80X100</t>
  </si>
  <si>
    <t>Plastik Sampah Hitam 90X120</t>
  </si>
  <si>
    <t>Plastik Sampah Kuning 100X120</t>
  </si>
  <si>
    <t>Plastik Sampah Kuning 60X100</t>
  </si>
  <si>
    <t>Plastik Sampah Kuning 90X120</t>
  </si>
  <si>
    <t>Plastik Sampah Merah 100X120</t>
  </si>
  <si>
    <t>Press Mop</t>
  </si>
  <si>
    <t>Reed Diffuser Bayfresh Coffee</t>
  </si>
  <si>
    <t>Reed Diffuser Bayfresh Lavender</t>
  </si>
  <si>
    <t>Reed Diffuser Bayfresh Yuzu Peach</t>
  </si>
  <si>
    <t>Rugball</t>
  </si>
  <si>
    <t>Sabun Cuci Mama Lime 650Ml</t>
  </si>
  <si>
    <t>Sabun Cuci Rinso 1200Gr</t>
  </si>
  <si>
    <t>Sabun Cuci Rinso 1800Gr</t>
  </si>
  <si>
    <t>Sabun Cuci Rinso 770Gr</t>
  </si>
  <si>
    <t>Sabun Cuci Sunlight 1500Ml</t>
  </si>
  <si>
    <t>Sabun Cuci Sunlight 650Ml</t>
  </si>
  <si>
    <t>Sabun Ekonomi 1Kg</t>
  </si>
  <si>
    <t>Sabun Krim Wings 160Gr</t>
  </si>
  <si>
    <t>Sabun Krim Wings 400Gr</t>
  </si>
  <si>
    <t>Sabun Krim Wings 900Gr</t>
  </si>
  <si>
    <t>Sanitation Break Up 4L</t>
  </si>
  <si>
    <t>Sapu Lidi Gagang Panjang</t>
  </si>
  <si>
    <t>Sapu Lidi Tanpa Gagang</t>
  </si>
  <si>
    <t>Sarung Tangan Kain</t>
  </si>
  <si>
    <t>Sarung Tangan Karet</t>
  </si>
  <si>
    <t>Sikat Tangan Plastik</t>
  </si>
  <si>
    <t>Sikat Tangkai Panjang</t>
  </si>
  <si>
    <t>Speciality Cleaner Conq R Dust 4L</t>
  </si>
  <si>
    <t>Speciality Cleaner Glo Metal Polish 2L</t>
  </si>
  <si>
    <t>Spons</t>
  </si>
  <si>
    <t>Steel Woll</t>
  </si>
  <si>
    <t>Stick Handle Mop</t>
  </si>
  <si>
    <t>Telescopic Pole 9M</t>
  </si>
  <si>
    <t>Tisu Meja Paseo</t>
  </si>
  <si>
    <t>Toilet Bowl Brush</t>
  </si>
  <si>
    <t>Tube Brush</t>
  </si>
  <si>
    <t>Urinal Screen</t>
  </si>
  <si>
    <t>Warning Sign Cleaning</t>
  </si>
  <si>
    <t>Warning Sign Wet Floor</t>
  </si>
  <si>
    <t>Window Squeegee 35 Inch</t>
  </si>
  <si>
    <t>Window Washer 35 Inch</t>
  </si>
  <si>
    <t>Window Washer 45 Inch</t>
  </si>
  <si>
    <t>Pengharum Ruangan Calmic, Ecocare &amp; Scenting</t>
  </si>
  <si>
    <t>titik</t>
  </si>
  <si>
    <t>Pembersih Lantai Super Pell 770Ml</t>
  </si>
  <si>
    <t>Peruntukan Sukapura &amp; Jababeka</t>
  </si>
  <si>
    <t>Pembersih Toilet Terrific 4L</t>
  </si>
  <si>
    <t>Pengharum Gantung Dahlia 70Gr</t>
  </si>
  <si>
    <t>Pengharum Gantung Glade 70Gr</t>
  </si>
  <si>
    <t>Pengharum Gantung Stella</t>
  </si>
  <si>
    <t>Pengharum Ruangan Spray Glade Refill Matic 225Ml</t>
  </si>
  <si>
    <t>Pengharum Ruangan Spray Stella 400Ml</t>
  </si>
  <si>
    <t>B. PERALATAN GARDENER</t>
  </si>
  <si>
    <t>Mesin Potong Rumput</t>
  </si>
  <si>
    <t>Mesin Potong Pohon</t>
  </si>
  <si>
    <t>Mesin Jet Steamer</t>
  </si>
  <si>
    <t>Plastik Sampah Merah 80X100</t>
  </si>
  <si>
    <t>Sewa Bonsai &amp; Tanaman Hias</t>
  </si>
  <si>
    <t>C. PEST CONTROL</t>
  </si>
  <si>
    <t>Lem Tikus</t>
  </si>
  <si>
    <t>Obat Fogging Cynof</t>
  </si>
  <si>
    <t>Obat Fogging Nuvet</t>
  </si>
  <si>
    <t>Obat Lalat Flygard</t>
  </si>
  <si>
    <t>Obat Serangga Spa Insecticide</t>
  </si>
  <si>
    <t>Racun Tikus Contract</t>
  </si>
  <si>
    <t>Solar</t>
  </si>
  <si>
    <t>Bensin</t>
  </si>
  <si>
    <t>Gerobak Dan Perangkap</t>
  </si>
  <si>
    <t>Add Cost</t>
  </si>
  <si>
    <t>D. GONDOLA</t>
  </si>
  <si>
    <t>Plastik Sampah Hijau 40X60</t>
  </si>
  <si>
    <t>Sabun Ekonomi 2,85Kg</t>
  </si>
  <si>
    <t>Window Squeegee 45 Inch</t>
  </si>
  <si>
    <t>Carbiner</t>
  </si>
  <si>
    <t>Body Harness</t>
  </si>
  <si>
    <t>Carmantel</t>
  </si>
  <si>
    <t>Ascender</t>
  </si>
  <si>
    <t>Descender</t>
  </si>
  <si>
    <t>Webbing</t>
  </si>
  <si>
    <t>SERTIFIKASI SERVCES</t>
  </si>
  <si>
    <t>Position</t>
  </si>
  <si>
    <t>Scope</t>
  </si>
  <si>
    <t>Jenis Sertifikasi</t>
  </si>
  <si>
    <t>Biaya Sertifikasi</t>
  </si>
  <si>
    <t>Masa Berlaku</t>
  </si>
  <si>
    <t>Biaya/ Bulan</t>
  </si>
  <si>
    <t>Koordinator</t>
  </si>
  <si>
    <t>Cleaning Service &amp; Quality Control</t>
  </si>
  <si>
    <t>Sertifikasi Cleaning Service (BNSP)</t>
  </si>
  <si>
    <t>3 Tahun</t>
  </si>
  <si>
    <t>Supervisor</t>
  </si>
  <si>
    <t>Cleaning Service</t>
  </si>
  <si>
    <t>Crew</t>
  </si>
  <si>
    <t>Pest Control</t>
  </si>
  <si>
    <t>Sertifikasi Penanganan Satwa Liar Umum</t>
  </si>
  <si>
    <t>Gondola</t>
  </si>
  <si>
    <t>Sertifikasi IRATA (Level 2)</t>
  </si>
  <si>
    <t>Operator Gondola (Angkat-Angkut)</t>
  </si>
  <si>
    <t>Sertifikasi IRATA (Level 1)</t>
  </si>
  <si>
    <t>NAMA MANPOWER</t>
  </si>
  <si>
    <t>POSISI</t>
  </si>
  <si>
    <t>GENDER</t>
  </si>
  <si>
    <t>LOKASI KERJA</t>
  </si>
  <si>
    <t>PIC SUPERVISOR</t>
  </si>
  <si>
    <t>Doni</t>
  </si>
  <si>
    <t>Chief SPV Housekeeping</t>
  </si>
  <si>
    <t>Pria</t>
  </si>
  <si>
    <t>PPI- Cakung</t>
  </si>
  <si>
    <t xml:space="preserve">Wisnu Pratama </t>
  </si>
  <si>
    <t>Juhari</t>
  </si>
  <si>
    <t>Supervisor Kebersihan</t>
  </si>
  <si>
    <t xml:space="preserve"> Tower UTNB lantai 2 - Roof</t>
  </si>
  <si>
    <t>Cuhendi</t>
  </si>
  <si>
    <t>All Ground (Tower &amp; Wing) &amp; Publik Area Wing</t>
  </si>
  <si>
    <t>Andri</t>
  </si>
  <si>
    <t>Ballroom, Canteen, dan All Parkiran UTNB</t>
  </si>
  <si>
    <t>Budi Amalwan</t>
  </si>
  <si>
    <t xml:space="preserve"> LC dan Publik Area HO B</t>
  </si>
  <si>
    <t>Soecipto Bhakti P</t>
  </si>
  <si>
    <t>Supervisor Kebersihan &amp; Cleaning Outdoor</t>
  </si>
  <si>
    <t xml:space="preserve"> Masjid &amp; Parkiran UTS</t>
  </si>
  <si>
    <t xml:space="preserve">Umbrus </t>
  </si>
  <si>
    <t>Supervisor Gardener</t>
  </si>
  <si>
    <t>PPI Cakung - Gardener</t>
  </si>
  <si>
    <t>Maskur</t>
  </si>
  <si>
    <t>Supervisor Gondola</t>
  </si>
  <si>
    <t>UTNB &amp; WING</t>
  </si>
  <si>
    <t>Sulaiman</t>
  </si>
  <si>
    <t xml:space="preserve">Cleaning </t>
  </si>
  <si>
    <t>Tower UTNB Lantai 9</t>
  </si>
  <si>
    <t>Desi Wulandari</t>
  </si>
  <si>
    <t>Wanita</t>
  </si>
  <si>
    <t>Dwi Hariwibowo</t>
  </si>
  <si>
    <t>Agus Adi Subagya</t>
  </si>
  <si>
    <t>Tower UTNB Lantai 8</t>
  </si>
  <si>
    <t>Agung Ramdhan</t>
  </si>
  <si>
    <t>Siti Khadijah</t>
  </si>
  <si>
    <t>Misbah</t>
  </si>
  <si>
    <t>Tower UTNB Lantai 7</t>
  </si>
  <si>
    <t>Aminudin</t>
  </si>
  <si>
    <t>Dania Puspa Anggraini</t>
  </si>
  <si>
    <t xml:space="preserve">Eko Oktavian </t>
  </si>
  <si>
    <t>Tower UTNB Lantai 6</t>
  </si>
  <si>
    <t>Asriyani</t>
  </si>
  <si>
    <t>Siti Nurngilmi</t>
  </si>
  <si>
    <t>Tower UTNB Lantai 5</t>
  </si>
  <si>
    <t>Saipul Anwar</t>
  </si>
  <si>
    <t>M.Abdiyansyah saputra</t>
  </si>
  <si>
    <t>Heni Nurheani</t>
  </si>
  <si>
    <t>Tower UTNB Lantai 3A</t>
  </si>
  <si>
    <t>M. Arif Fahrurozi</t>
  </si>
  <si>
    <t>Riza Rismaya</t>
  </si>
  <si>
    <t>Tower UTNB Lantai 3</t>
  </si>
  <si>
    <t>Novi Nugraha</t>
  </si>
  <si>
    <t>Dewi Yuni Triastuti</t>
  </si>
  <si>
    <t>Tower UTNB Lantai 2</t>
  </si>
  <si>
    <t>Ahmad Mustopa</t>
  </si>
  <si>
    <t>Dwi Prayudi</t>
  </si>
  <si>
    <t>Tower UTNB Lantai 1 Lobby</t>
  </si>
  <si>
    <t>Dwi Yuliani</t>
  </si>
  <si>
    <t>Anggi kamaludin</t>
  </si>
  <si>
    <t>Fajar Anugrah</t>
  </si>
  <si>
    <t>Tower UTNB Lantai Ground</t>
  </si>
  <si>
    <t>melly kartina</t>
  </si>
  <si>
    <t>Fajar Ismail</t>
  </si>
  <si>
    <t>Menara Astra</t>
  </si>
  <si>
    <t>Rizky Septiawan</t>
  </si>
  <si>
    <t>Wing Public Area (Lantai Ground - Lantai 6)</t>
  </si>
  <si>
    <t>Intan Wijayanti</t>
  </si>
  <si>
    <t>Arief Maulana</t>
  </si>
  <si>
    <t>Command Center</t>
  </si>
  <si>
    <t>Yuli Setiawati</t>
  </si>
  <si>
    <t>UT Call</t>
  </si>
  <si>
    <t>Kamaludin</t>
  </si>
  <si>
    <t>Mushola UTNB Pria &amp; Loker Security</t>
  </si>
  <si>
    <t>Iskiyah</t>
  </si>
  <si>
    <t>Mushola UTNB Wanita &amp; Loker Security</t>
  </si>
  <si>
    <t>Deni Purwanto</t>
  </si>
  <si>
    <t>Parkiran Vip &amp; Utility Room</t>
  </si>
  <si>
    <t>Ferdy</t>
  </si>
  <si>
    <t>Ubai Achbari</t>
  </si>
  <si>
    <t>Staf Security &amp; Pos A</t>
  </si>
  <si>
    <t>Ari Subechi</t>
  </si>
  <si>
    <t>Taman Innercourt</t>
  </si>
  <si>
    <t>Andrianto</t>
  </si>
  <si>
    <t>Parkiran Mobil P &amp; P1</t>
  </si>
  <si>
    <t>Makmur A</t>
  </si>
  <si>
    <t>Parkiran Mobil P2 &amp; P3</t>
  </si>
  <si>
    <t>M. Rais</t>
  </si>
  <si>
    <t>Parkiran Mobil P4</t>
  </si>
  <si>
    <t>M. Arif Faizi</t>
  </si>
  <si>
    <t>Parkiran Motor Lantai 2</t>
  </si>
  <si>
    <t>Romi Sadewo</t>
  </si>
  <si>
    <t>Parkiran Motor Lantai 1 &amp; Control Room</t>
  </si>
  <si>
    <t>Bisri Mustofa</t>
  </si>
  <si>
    <t>Ballroom</t>
  </si>
  <si>
    <t>Ruswandi</t>
  </si>
  <si>
    <t>Agus Setiabudi</t>
  </si>
  <si>
    <t>Canteen UTNB Lantai 1</t>
  </si>
  <si>
    <t>Feny Irsandy</t>
  </si>
  <si>
    <t>Catur A</t>
  </si>
  <si>
    <t>Canteen UTNB Lantai Mazzanine</t>
  </si>
  <si>
    <t>Yohanes Serdam</t>
  </si>
  <si>
    <t>Rifki Pratama Wahyudi</t>
  </si>
  <si>
    <t>Data Center Lantai 1</t>
  </si>
  <si>
    <t>M. Rizky Ramadhan</t>
  </si>
  <si>
    <t>Data Center Lantai 2</t>
  </si>
  <si>
    <t>Wahyudin</t>
  </si>
  <si>
    <t>Hartono Mahula</t>
  </si>
  <si>
    <t>Data Center Lantai 3</t>
  </si>
  <si>
    <t>Wina Haryati</t>
  </si>
  <si>
    <t>M. Pujiarso</t>
  </si>
  <si>
    <t>Data Center Lantai 4</t>
  </si>
  <si>
    <t>Andri ardiansyah</t>
  </si>
  <si>
    <t>Kalibrasi &amp; Perpustakaan Yard</t>
  </si>
  <si>
    <t>Febry Humega</t>
  </si>
  <si>
    <t>Pos Security Mobile</t>
  </si>
  <si>
    <t>Junaedi</t>
  </si>
  <si>
    <t>Worshop Yard, Used</t>
  </si>
  <si>
    <t xml:space="preserve">Mat Chair </t>
  </si>
  <si>
    <t>Worshop Compo</t>
  </si>
  <si>
    <t>Renaldo langi</t>
  </si>
  <si>
    <t>Corpu Lantai 1</t>
  </si>
  <si>
    <t>Tomi</t>
  </si>
  <si>
    <t>Corpu Lantai 2</t>
  </si>
  <si>
    <t>Muhammad Arif</t>
  </si>
  <si>
    <t>Corpu Lantai 3</t>
  </si>
  <si>
    <t>Wisnu Fahri</t>
  </si>
  <si>
    <t>Corpu Lantai 4</t>
  </si>
  <si>
    <t>Nurmisbahun Naumiyah</t>
  </si>
  <si>
    <t>Corpu Lantai 1 &amp; Lantai 2</t>
  </si>
  <si>
    <t>Sayiida Nafisa</t>
  </si>
  <si>
    <t>Corpu Lantai 3 &amp; Lantai 4</t>
  </si>
  <si>
    <t>Casmudi</t>
  </si>
  <si>
    <t>Workshop TTD</t>
  </si>
  <si>
    <t>Novi Nurdianto</t>
  </si>
  <si>
    <t>HO B Lobby Publik Area &amp; Publik Area Lantai 2</t>
  </si>
  <si>
    <t>M Agam muraski</t>
  </si>
  <si>
    <t>HO B Publik Area Lantai 3 &amp; Publik Area Lantai 4</t>
  </si>
  <si>
    <t>Musholah HO B Lobby HO B</t>
  </si>
  <si>
    <t>Pipit Marindra</t>
  </si>
  <si>
    <t>Warehouse Marunda</t>
  </si>
  <si>
    <t>Hasan Basri</t>
  </si>
  <si>
    <t>Cleaning</t>
  </si>
  <si>
    <t>Masjid Lantai 1 &amp; Bengkel</t>
  </si>
  <si>
    <t>Sanadi</t>
  </si>
  <si>
    <t>Masjid Lantai 2 &amp; Bengkel</t>
  </si>
  <si>
    <t>Rizal Fauzi</t>
  </si>
  <si>
    <t xml:space="preserve">Parkiran UT School </t>
  </si>
  <si>
    <t>Siti Hafsya</t>
  </si>
  <si>
    <t>Office Girl</t>
  </si>
  <si>
    <t>Sugiyanto Bin Sakwid</t>
  </si>
  <si>
    <t>Office Boy</t>
  </si>
  <si>
    <t>Hery</t>
  </si>
  <si>
    <t>Reza Yusardi</t>
  </si>
  <si>
    <t>Diman Suhendar</t>
  </si>
  <si>
    <t>M. Khoeirudin</t>
  </si>
  <si>
    <t>Suryono</t>
  </si>
  <si>
    <t>Agus Heriyanto</t>
  </si>
  <si>
    <t>Helmi Saputra</t>
  </si>
  <si>
    <t>Sunardi</t>
  </si>
  <si>
    <t>Tower UTNB Lantai 1</t>
  </si>
  <si>
    <t>Achmad Sobirin</t>
  </si>
  <si>
    <t>Data Center Lantai 1 &amp; 2</t>
  </si>
  <si>
    <t>Rahmat Hidayat</t>
  </si>
  <si>
    <t>Data Center Lantai 3 &amp; 4</t>
  </si>
  <si>
    <t>Fajar Satria</t>
  </si>
  <si>
    <t>Corpu Lantai 1 - Lantai 4</t>
  </si>
  <si>
    <t>Randika Aibana</t>
  </si>
  <si>
    <t>Admin</t>
  </si>
  <si>
    <t>Mailling Room</t>
  </si>
  <si>
    <t>Hizkia Oktoberlianto</t>
  </si>
  <si>
    <t>Nopiandi Suryadirja</t>
  </si>
  <si>
    <t>Gondola Man</t>
  </si>
  <si>
    <t>Tower UTNB</t>
  </si>
  <si>
    <t>Enur Cahya</t>
  </si>
  <si>
    <t>Faisyal Abdau</t>
  </si>
  <si>
    <t>Riky Anwar</t>
  </si>
  <si>
    <t>Usniyadi</t>
  </si>
  <si>
    <t>Wing</t>
  </si>
  <si>
    <t>Dian Hardianto</t>
  </si>
  <si>
    <t>Aula Rachman</t>
  </si>
  <si>
    <t>Imam Gunawan</t>
  </si>
  <si>
    <t>Sukamto</t>
  </si>
  <si>
    <t>Gardener Perawatan Taman</t>
  </si>
  <si>
    <t>UT PPI-Cakung</t>
  </si>
  <si>
    <t>Umbrus</t>
  </si>
  <si>
    <t xml:space="preserve">Riswanto H </t>
  </si>
  <si>
    <t>Bambang H</t>
  </si>
  <si>
    <t>Ahmad Maulana S</t>
  </si>
  <si>
    <t>Dillah ramdani</t>
  </si>
  <si>
    <t>Ari mawardana</t>
  </si>
  <si>
    <t>Turaji</t>
  </si>
  <si>
    <t>Suhadi</t>
  </si>
  <si>
    <t>Gardener Pembersihan Saluran</t>
  </si>
  <si>
    <t>Ahmad Umam Mushaffah</t>
  </si>
  <si>
    <t>Sutirno</t>
  </si>
  <si>
    <t>Gardener Pembersihan Pemotongan Rumput</t>
  </si>
  <si>
    <t>Supriyanto</t>
  </si>
  <si>
    <t>Syahrul Ramadhani</t>
  </si>
  <si>
    <t>Gardener Pengolahan Sampah</t>
  </si>
  <si>
    <t>Marno</t>
  </si>
  <si>
    <t>Ratnyo supriyadhi</t>
  </si>
  <si>
    <t>Gardener Pengambilan Sampah Mobile</t>
  </si>
  <si>
    <t>Dede Arfian</t>
  </si>
  <si>
    <t>Yusuf Faisol</t>
  </si>
  <si>
    <t>Gardener Workshop Yard Maketing</t>
  </si>
  <si>
    <t>Heriyanto</t>
  </si>
  <si>
    <t>Gardener Penyapuan Jalan Utama</t>
  </si>
  <si>
    <t>Umbrus &amp; Soecipto Bhakti P</t>
  </si>
  <si>
    <t>Bambang sumantri</t>
  </si>
  <si>
    <t>Purwanto</t>
  </si>
  <si>
    <t>Maiky wira a</t>
  </si>
  <si>
    <t>Oki Rizal Pamungkas</t>
  </si>
  <si>
    <t>Gardener Penyapuan Jalan Utama + Tim Event</t>
  </si>
  <si>
    <t>Marlan</t>
  </si>
  <si>
    <t>Muhamad Farhan</t>
  </si>
  <si>
    <t>Tobiin</t>
  </si>
  <si>
    <t>Sutarto</t>
  </si>
  <si>
    <t>Gardener Cikarang</t>
  </si>
  <si>
    <t>Pandji Purna</t>
  </si>
  <si>
    <t>Amar Azaam</t>
  </si>
  <si>
    <t>Samsudin</t>
  </si>
  <si>
    <t>Gardener Sukapura</t>
  </si>
  <si>
    <t>Fahrul Ichsan</t>
  </si>
  <si>
    <t>Andikha Yusuf</t>
  </si>
  <si>
    <t>Acang Alam Cahya</t>
  </si>
  <si>
    <t>Mohamad.Arifiyanto</t>
  </si>
  <si>
    <t>Jito</t>
  </si>
  <si>
    <t>Jayadi</t>
  </si>
  <si>
    <t>Makmun Jamali</t>
  </si>
  <si>
    <t>Kamalludin</t>
  </si>
  <si>
    <t>Ember</t>
  </si>
  <si>
    <t>Gln</t>
  </si>
  <si>
    <t>Pcs</t>
  </si>
  <si>
    <t>Set</t>
  </si>
  <si>
    <t>Btl</t>
  </si>
  <si>
    <t>Pail</t>
  </si>
  <si>
    <t>Pax</t>
  </si>
  <si>
    <t>Psg</t>
  </si>
  <si>
    <t>Unit Price</t>
  </si>
  <si>
    <t>PPI-Cakung</t>
  </si>
  <si>
    <t>SKP &amp; Jababeka</t>
  </si>
  <si>
    <t xml:space="preserve">Sapu Lidi Tanpa Gagang </t>
  </si>
  <si>
    <t>Liter</t>
  </si>
  <si>
    <t>Jakarta, 11 Februari 2025</t>
  </si>
  <si>
    <t>Ember Biru 6L</t>
  </si>
  <si>
    <t xml:space="preserve">Hand Soap 20L </t>
  </si>
  <si>
    <t>9.   Makan disediakan oleh User</t>
  </si>
  <si>
    <t>8.   Alat Pelindung Diri (APD) ditagihkan sesuai aktual dengan management fee 5%</t>
  </si>
  <si>
    <t>7.   Lembur ditagihkan sesuai aktual dengan management fee 5%</t>
  </si>
  <si>
    <t>6.   Perhitungan dan aturan lembur sesuai aturan disnaker</t>
  </si>
  <si>
    <t>5.   Harga sudah termasuk biaya MCU, kelebihan biaya MCU ditagihkan sesuai aktual dgn Management Fee 5%</t>
  </si>
  <si>
    <t>3.   Harga belum termasuk biaya pembuangan sampah dari TPS</t>
  </si>
  <si>
    <t>2.   Harga sudah termasuk peralatan dan chemical untuk Cleaning Service, Pest Control, dan Gondola</t>
  </si>
  <si>
    <t>1.   Harga belum termasuk PPN 11%</t>
  </si>
  <si>
    <t>Vacant</t>
  </si>
  <si>
    <t>M fee</t>
  </si>
  <si>
    <t>7% dari Total Cost</t>
  </si>
  <si>
    <t>TENAGA KERJA SERVICES TAHUN 2025</t>
  </si>
  <si>
    <t>Ria Felani --&gt; Natasya</t>
  </si>
  <si>
    <t>Dini Khairunnisa --&gt; Raihana Nahda</t>
  </si>
  <si>
    <t>Sahat Monang Martua Raja Gultom</t>
  </si>
  <si>
    <t>Melisa</t>
  </si>
  <si>
    <t>Yahman Saidina Anwar</t>
  </si>
  <si>
    <t>Moh. Faisal</t>
  </si>
  <si>
    <t>Yard</t>
  </si>
  <si>
    <t>M. Fhatur</t>
  </si>
  <si>
    <t>SKP JBBK</t>
  </si>
  <si>
    <t>Ajizul Hakim</t>
  </si>
  <si>
    <t>Megi Wahyudi</t>
  </si>
  <si>
    <t>Joko Diniarto</t>
  </si>
  <si>
    <t>Ikshanul Hakim</t>
  </si>
  <si>
    <t>Cleaning Pangpol</t>
  </si>
  <si>
    <t>Panglima Polim</t>
  </si>
  <si>
    <t>Budget</t>
  </si>
  <si>
    <t>Sisa Budget</t>
  </si>
  <si>
    <t>Budget/ Bulan</t>
  </si>
  <si>
    <t>Cost</t>
  </si>
  <si>
    <t>Deskripsi</t>
  </si>
  <si>
    <t>--&gt; Proposed Advance diawal</t>
  </si>
  <si>
    <t>Budget/ 9 Bulan</t>
  </si>
  <si>
    <t>Calmic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</si>
</sst>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Rp&quot;#,##0;[Red]\-&quot;Rp&quot;#,##0"/>
    <numFmt numFmtId="8" formatCode="&quot;Rp&quot;#,##0.00;[Red]\-&quot;Rp&quot;#,##0.0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0.0%"/>
    <numFmt numFmtId="168" formatCode="_-[$Rp-3809]* #,##0_-;\-[$Rp-3809]* #,##0_-;_-[$Rp-3809]* &quot;-&quot;??_-;_-@_-"/>
    <numFmt numFmtId="169" formatCode="_-&quot;Rp&quot;* #,##0_-;\-&quot;Rp&quot;* #,##0_-;_-&quot;Rp&quot;* &quot;-&quot;??_-;_-@_-"/>
    <numFmt numFmtId="170" formatCode="_-* #,##0.0_-;\-* #,##0.0_-;_-* &quot;-&quot;??_-;_-@_-"/>
    <numFmt numFmtId="171" formatCode="0.0000%"/>
    <numFmt numFmtId="172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u/>
      <sz val="10"/>
      <color indexed="8"/>
      <name val="Trebuchet MS"/>
      <family val="2"/>
    </font>
    <font>
      <i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0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1"/>
      <color indexed="8"/>
      <name val="Calibri"/>
      <family val="2"/>
    </font>
    <font>
      <i/>
      <sz val="11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1"/>
      <color rgb="FFFF0000"/>
      <name val="Trebuchet MS"/>
      <family val="2"/>
    </font>
    <font>
      <b/>
      <u/>
      <sz val="10"/>
      <name val="Trebuchet MS"/>
      <family val="2"/>
    </font>
    <font>
      <b/>
      <u/>
      <sz val="10"/>
      <color theme="1"/>
      <name val="Trebuchet MS"/>
      <family val="2"/>
    </font>
    <font>
      <b/>
      <sz val="12"/>
      <color theme="1"/>
      <name val="Trebuchet MS"/>
      <family val="2"/>
    </font>
    <font>
      <b/>
      <sz val="12"/>
      <name val="Trebuchet MS"/>
      <family val="2"/>
    </font>
    <font>
      <b/>
      <sz val="11"/>
      <color rgb="FF000000"/>
      <name val="Trebuchet MS"/>
      <family val="2"/>
    </font>
    <font>
      <sz val="11"/>
      <color rgb="FF000000"/>
      <name val="Trebuchet MS"/>
      <family val="2"/>
    </font>
    <font>
      <sz val="11"/>
      <color indexed="8"/>
      <name val="Trebuchet MS"/>
      <family val="2"/>
    </font>
    <font>
      <b/>
      <u/>
      <sz val="11"/>
      <color rgb="FF000000"/>
      <name val="Trebuchet MS"/>
      <family val="2"/>
    </font>
    <font>
      <b/>
      <u/>
      <sz val="11"/>
      <color indexed="8"/>
      <name val="Trebuchet MS"/>
      <family val="2"/>
    </font>
    <font>
      <sz val="11"/>
      <color rgb="FF000000"/>
      <name val="Calibri"/>
      <family val="2"/>
      <scheme val="minor"/>
    </font>
    <font>
      <sz val="10"/>
      <color theme="0"/>
      <name val="Trebuchet MS"/>
      <family val="2"/>
    </font>
    <font>
      <sz val="10"/>
      <color rgb="FFFF000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44" fontId="1" fillId="0" borderId="0" applyFont="0" applyFill="0" applyBorder="0" applyAlignment="0" applyProtection="0"/>
    <xf numFmtId="0" fontId="15" fillId="0" borderId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/>
    <xf numFmtId="0" fontId="18" fillId="0" borderId="0"/>
    <xf numFmtId="41" fontId="8" fillId="0" borderId="0" applyFont="0" applyFill="0" applyBorder="0" applyAlignment="0" applyProtection="0"/>
    <xf numFmtId="0" fontId="8" fillId="0" borderId="0"/>
  </cellStyleXfs>
  <cellXfs count="375">
    <xf numFmtId="0" fontId="0" fillId="0" borderId="0" xfId="0"/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166" fontId="2" fillId="0" borderId="0" xfId="1" quotePrefix="1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 indent="2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13" fillId="0" borderId="0" xfId="5" applyFont="1" applyAlignment="1">
      <alignment vertical="center"/>
    </xf>
    <xf numFmtId="0" fontId="14" fillId="0" borderId="0" xfId="5" applyFont="1" applyAlignment="1">
      <alignment vertical="center"/>
    </xf>
    <xf numFmtId="0" fontId="14" fillId="0" borderId="0" xfId="0" applyFont="1" applyAlignment="1">
      <alignment horizontal="left" vertical="center"/>
    </xf>
    <xf numFmtId="41" fontId="12" fillId="0" borderId="1" xfId="2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0" fontId="2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0" xfId="10" applyFont="1" applyAlignment="1">
      <alignment vertical="center"/>
    </xf>
    <xf numFmtId="0" fontId="13" fillId="0" borderId="0" xfId="10" applyFont="1" applyAlignment="1">
      <alignment vertical="center"/>
    </xf>
    <xf numFmtId="0" fontId="14" fillId="0" borderId="0" xfId="7" applyFont="1" applyAlignment="1">
      <alignment vertical="center"/>
    </xf>
    <xf numFmtId="0" fontId="14" fillId="0" borderId="0" xfId="10" applyFont="1" applyAlignment="1">
      <alignment horizontal="left" vertical="center"/>
    </xf>
    <xf numFmtId="0" fontId="22" fillId="0" borderId="0" xfId="10" applyFont="1" applyAlignment="1">
      <alignment vertical="center"/>
    </xf>
    <xf numFmtId="0" fontId="12" fillId="0" borderId="0" xfId="10" applyFont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166" fontId="3" fillId="0" borderId="0" xfId="1" applyNumberFormat="1" applyFont="1" applyAlignment="1">
      <alignment horizontal="left"/>
    </xf>
    <xf numFmtId="166" fontId="13" fillId="0" borderId="0" xfId="1" applyNumberFormat="1" applyFont="1" applyAlignment="1">
      <alignment vertical="center"/>
    </xf>
    <xf numFmtId="166" fontId="4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166" fontId="22" fillId="0" borderId="0" xfId="1" applyNumberFormat="1" applyFont="1" applyAlignment="1">
      <alignment vertical="center"/>
    </xf>
    <xf numFmtId="166" fontId="23" fillId="0" borderId="0" xfId="1" applyNumberFormat="1" applyFont="1" applyAlignment="1">
      <alignment horizontal="center" wrapText="1"/>
    </xf>
    <xf numFmtId="166" fontId="12" fillId="0" borderId="0" xfId="1" applyNumberFormat="1" applyFont="1" applyAlignment="1">
      <alignment vertical="center"/>
    </xf>
    <xf numFmtId="166" fontId="6" fillId="0" borderId="0" xfId="1" applyNumberFormat="1" applyFont="1" applyAlignment="1">
      <alignment horizontal="center" wrapText="1"/>
    </xf>
    <xf numFmtId="0" fontId="9" fillId="0" borderId="0" xfId="0" applyFont="1"/>
    <xf numFmtId="166" fontId="2" fillId="0" borderId="0" xfId="1" applyNumberFormat="1" applyFont="1" applyAlignment="1">
      <alignment horizontal="right"/>
    </xf>
    <xf numFmtId="0" fontId="24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 indent="3"/>
    </xf>
    <xf numFmtId="0" fontId="9" fillId="2" borderId="6" xfId="0" applyFont="1" applyFill="1" applyBorder="1" applyAlignment="1">
      <alignment horizontal="center" vertical="center" wrapText="1"/>
    </xf>
    <xf numFmtId="41" fontId="9" fillId="2" borderId="6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41" fontId="17" fillId="0" borderId="1" xfId="2" applyFont="1" applyBorder="1" applyAlignment="1">
      <alignment horizontal="center" vertical="center"/>
    </xf>
    <xf numFmtId="41" fontId="7" fillId="0" borderId="1" xfId="2" applyFont="1" applyBorder="1" applyAlignment="1">
      <alignment horizontal="center" vertical="center"/>
    </xf>
    <xf numFmtId="41" fontId="7" fillId="0" borderId="0" xfId="0" applyNumberFormat="1" applyFont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41" fontId="9" fillId="2" borderId="3" xfId="2" applyFont="1" applyFill="1" applyBorder="1" applyAlignment="1">
      <alignment horizontal="center" vertical="center"/>
    </xf>
    <xf numFmtId="41" fontId="17" fillId="5" borderId="1" xfId="2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 indent="3"/>
    </xf>
    <xf numFmtId="0" fontId="7" fillId="2" borderId="3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0" xfId="0" quotePrefix="1" applyFont="1" applyAlignment="1">
      <alignment vertical="center"/>
    </xf>
    <xf numFmtId="6" fontId="0" fillId="0" borderId="0" xfId="0" applyNumberFormat="1"/>
    <xf numFmtId="8" fontId="0" fillId="0" borderId="0" xfId="0" applyNumberFormat="1"/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 wrapText="1"/>
    </xf>
    <xf numFmtId="41" fontId="17" fillId="5" borderId="1" xfId="2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 indent="1"/>
    </xf>
    <xf numFmtId="0" fontId="7" fillId="5" borderId="0" xfId="0" applyFont="1" applyFill="1" applyAlignment="1">
      <alignment vertical="center"/>
    </xf>
    <xf numFmtId="0" fontId="0" fillId="5" borderId="0" xfId="0" applyFill="1"/>
    <xf numFmtId="8" fontId="0" fillId="5" borderId="0" xfId="0" applyNumberFormat="1" applyFill="1"/>
    <xf numFmtId="8" fontId="7" fillId="5" borderId="0" xfId="0" applyNumberFormat="1" applyFont="1" applyFill="1" applyAlignment="1">
      <alignment vertical="center"/>
    </xf>
    <xf numFmtId="41" fontId="17" fillId="0" borderId="1" xfId="2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 indent="1"/>
    </xf>
    <xf numFmtId="41" fontId="21" fillId="5" borderId="1" xfId="2" applyFont="1" applyFill="1" applyBorder="1" applyAlignment="1">
      <alignment horizontal="center" vertical="center"/>
    </xf>
    <xf numFmtId="166" fontId="7" fillId="0" borderId="0" xfId="1" applyNumberFormat="1" applyFont="1" applyAlignment="1">
      <alignment vertical="center"/>
    </xf>
    <xf numFmtId="0" fontId="7" fillId="0" borderId="0" xfId="1" applyNumberFormat="1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 indent="3"/>
    </xf>
    <xf numFmtId="0" fontId="7" fillId="2" borderId="3" xfId="0" applyFont="1" applyFill="1" applyBorder="1" applyAlignment="1">
      <alignment vertical="center"/>
    </xf>
    <xf numFmtId="41" fontId="9" fillId="2" borderId="3" xfId="2" applyFont="1" applyFill="1" applyBorder="1" applyAlignment="1">
      <alignment vertical="center"/>
    </xf>
    <xf numFmtId="0" fontId="7" fillId="2" borderId="4" xfId="0" applyFont="1" applyFill="1" applyBorder="1" applyAlignment="1">
      <alignment horizontal="left" vertical="center" indent="1"/>
    </xf>
    <xf numFmtId="0" fontId="7" fillId="0" borderId="2" xfId="0" applyFont="1" applyBorder="1" applyAlignment="1">
      <alignment vertical="center"/>
    </xf>
    <xf numFmtId="0" fontId="9" fillId="0" borderId="3" xfId="0" applyFont="1" applyBorder="1" applyAlignment="1">
      <alignment horizontal="left" vertical="center" wrapText="1" indent="3"/>
    </xf>
    <xf numFmtId="0" fontId="9" fillId="0" borderId="3" xfId="0" applyFont="1" applyBorder="1" applyAlignment="1">
      <alignment horizontal="left" vertical="center" wrapText="1"/>
    </xf>
    <xf numFmtId="9" fontId="7" fillId="0" borderId="3" xfId="0" applyNumberFormat="1" applyFont="1" applyBorder="1" applyAlignment="1">
      <alignment horizontal="right" vertic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left" vertical="center" wrapText="1" indent="1"/>
    </xf>
    <xf numFmtId="41" fontId="9" fillId="2" borderId="3" xfId="0" applyNumberFormat="1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41" fontId="9" fillId="0" borderId="3" xfId="0" applyNumberFormat="1" applyFont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9" fillId="3" borderId="1" xfId="4" applyFont="1" applyFill="1" applyBorder="1" applyAlignment="1">
      <alignment horizontal="right" vertical="center" wrapText="1"/>
    </xf>
    <xf numFmtId="41" fontId="9" fillId="3" borderId="1" xfId="0" applyNumberFormat="1" applyFont="1" applyFill="1" applyBorder="1" applyAlignment="1">
      <alignment vertical="center"/>
    </xf>
    <xf numFmtId="41" fontId="9" fillId="3" borderId="1" xfId="4" applyNumberFormat="1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vertical="center"/>
    </xf>
    <xf numFmtId="0" fontId="9" fillId="0" borderId="0" xfId="4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66" fontId="17" fillId="0" borderId="0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9" fontId="7" fillId="0" borderId="0" xfId="0" applyNumberFormat="1" applyFont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 wrapText="1"/>
    </xf>
    <xf numFmtId="41" fontId="27" fillId="0" borderId="1" xfId="2" applyFont="1" applyFill="1" applyBorder="1" applyAlignment="1">
      <alignment horizontal="center" vertical="center"/>
    </xf>
    <xf numFmtId="41" fontId="27" fillId="0" borderId="2" xfId="2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1" fillId="0" borderId="0" xfId="0" applyFont="1"/>
    <xf numFmtId="10" fontId="7" fillId="0" borderId="4" xfId="0" applyNumberFormat="1" applyFont="1" applyBorder="1" applyAlignment="1">
      <alignment horizontal="right" vertical="center" wrapText="1"/>
    </xf>
    <xf numFmtId="41" fontId="17" fillId="0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 indent="1"/>
    </xf>
    <xf numFmtId="170" fontId="7" fillId="0" borderId="0" xfId="1" applyNumberFormat="1" applyFont="1" applyFill="1" applyAlignment="1">
      <alignment horizontal="left" vertical="center"/>
    </xf>
    <xf numFmtId="3" fontId="0" fillId="0" borderId="0" xfId="0" applyNumberFormat="1"/>
    <xf numFmtId="171" fontId="0" fillId="0" borderId="0" xfId="3" applyNumberFormat="1" applyFont="1" applyFill="1"/>
    <xf numFmtId="41" fontId="7" fillId="0" borderId="1" xfId="2" applyFont="1" applyFill="1" applyBorder="1" applyAlignment="1">
      <alignment horizontal="center" vertical="center"/>
    </xf>
    <xf numFmtId="166" fontId="7" fillId="0" borderId="0" xfId="1" applyNumberFormat="1" applyFont="1" applyFill="1" applyAlignment="1">
      <alignment horizontal="left" vertic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41" fontId="9" fillId="2" borderId="20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41" fontId="9" fillId="0" borderId="0" xfId="0" applyNumberFormat="1" applyFont="1" applyAlignment="1">
      <alignment vertical="center"/>
    </xf>
    <xf numFmtId="9" fontId="7" fillId="0" borderId="0" xfId="3" applyFont="1" applyFill="1" applyAlignment="1">
      <alignment horizontal="left" vertical="center"/>
    </xf>
    <xf numFmtId="9" fontId="7" fillId="0" borderId="0" xfId="3" applyFont="1" applyAlignment="1">
      <alignment horizontal="center" vertical="center"/>
    </xf>
    <xf numFmtId="0" fontId="16" fillId="0" borderId="3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24" fillId="3" borderId="1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 indent="1"/>
    </xf>
    <xf numFmtId="0" fontId="27" fillId="0" borderId="14" xfId="0" applyFont="1" applyBorder="1" applyAlignment="1">
      <alignment horizontal="left" vertical="center" wrapText="1" indent="1"/>
    </xf>
    <xf numFmtId="0" fontId="28" fillId="2" borderId="16" xfId="0" applyFont="1" applyFill="1" applyBorder="1" applyAlignment="1">
      <alignment horizontal="left" vertical="center" wrapText="1" indent="1"/>
    </xf>
    <xf numFmtId="172" fontId="7" fillId="0" borderId="0" xfId="0" applyNumberFormat="1" applyFont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 indent="3"/>
    </xf>
    <xf numFmtId="0" fontId="9" fillId="2" borderId="3" xfId="0" applyFont="1" applyFill="1" applyBorder="1" applyAlignment="1">
      <alignment horizontal="left" vertical="center" wrapText="1"/>
    </xf>
    <xf numFmtId="0" fontId="28" fillId="2" borderId="4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72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172" fontId="7" fillId="0" borderId="1" xfId="0" applyNumberFormat="1" applyFont="1" applyBorder="1" applyAlignment="1">
      <alignment horizontal="left" vertical="center"/>
    </xf>
    <xf numFmtId="172" fontId="7" fillId="0" borderId="1" xfId="0" applyNumberFormat="1" applyFont="1" applyBorder="1" applyAlignment="1">
      <alignment horizontal="center" vertical="center"/>
    </xf>
    <xf numFmtId="42" fontId="13" fillId="3" borderId="42" xfId="13" applyNumberFormat="1" applyFont="1" applyFill="1" applyBorder="1" applyAlignment="1">
      <alignment horizontal="center" vertical="center"/>
    </xf>
    <xf numFmtId="0" fontId="14" fillId="0" borderId="16" xfId="13" applyFont="1" applyBorder="1" applyAlignment="1">
      <alignment horizontal="center" vertical="center"/>
    </xf>
    <xf numFmtId="0" fontId="14" fillId="5" borderId="16" xfId="13" quotePrefix="1" applyFont="1" applyFill="1" applyBorder="1" applyAlignment="1">
      <alignment horizontal="left" vertical="center"/>
    </xf>
    <xf numFmtId="0" fontId="14" fillId="0" borderId="17" xfId="13" applyFont="1" applyBorder="1" applyAlignment="1">
      <alignment horizontal="center" vertical="center"/>
    </xf>
    <xf numFmtId="0" fontId="14" fillId="0" borderId="21" xfId="13" applyFont="1" applyBorder="1" applyAlignment="1">
      <alignment horizontal="center" vertical="center"/>
    </xf>
    <xf numFmtId="42" fontId="3" fillId="5" borderId="16" xfId="12" applyNumberFormat="1" applyFont="1" applyFill="1" applyBorder="1" applyAlignment="1">
      <alignment vertical="center"/>
    </xf>
    <xf numFmtId="42" fontId="14" fillId="0" borderId="16" xfId="12" applyNumberFormat="1" applyFont="1" applyBorder="1" applyAlignment="1">
      <alignment vertical="center"/>
    </xf>
    <xf numFmtId="42" fontId="3" fillId="5" borderId="16" xfId="12" applyNumberFormat="1" applyFont="1" applyFill="1" applyBorder="1" applyAlignment="1">
      <alignment horizontal="center" vertical="center"/>
    </xf>
    <xf numFmtId="0" fontId="14" fillId="0" borderId="16" xfId="13" applyFont="1" applyBorder="1" applyAlignment="1">
      <alignment horizontal="left" vertical="center" wrapText="1"/>
    </xf>
    <xf numFmtId="0" fontId="14" fillId="0" borderId="16" xfId="13" applyFont="1" applyBorder="1" applyAlignment="1">
      <alignment horizontal="left" vertical="center"/>
    </xf>
    <xf numFmtId="42" fontId="3" fillId="4" borderId="16" xfId="12" applyNumberFormat="1" applyFont="1" applyFill="1" applyBorder="1" applyAlignment="1">
      <alignment vertical="center"/>
    </xf>
    <xf numFmtId="42" fontId="3" fillId="4" borderId="16" xfId="12" applyNumberFormat="1" applyFont="1" applyFill="1" applyBorder="1" applyAlignment="1">
      <alignment horizontal="center" vertical="center"/>
    </xf>
    <xf numFmtId="0" fontId="14" fillId="0" borderId="16" xfId="13" quotePrefix="1" applyFont="1" applyBorder="1" applyAlignment="1">
      <alignment horizontal="left" vertical="center"/>
    </xf>
    <xf numFmtId="42" fontId="3" fillId="0" borderId="16" xfId="12" applyNumberFormat="1" applyFont="1" applyFill="1" applyBorder="1" applyAlignment="1">
      <alignment vertical="center"/>
    </xf>
    <xf numFmtId="42" fontId="3" fillId="0" borderId="16" xfId="12" applyNumberFormat="1" applyFont="1" applyFill="1" applyBorder="1" applyAlignment="1">
      <alignment horizontal="center" vertical="center"/>
    </xf>
    <xf numFmtId="42" fontId="14" fillId="4" borderId="16" xfId="12" applyNumberFormat="1" applyFont="1" applyFill="1" applyBorder="1" applyAlignment="1">
      <alignment vertical="center"/>
    </xf>
    <xf numFmtId="0" fontId="13" fillId="3" borderId="42" xfId="13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3" fontId="2" fillId="0" borderId="0" xfId="2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66" fontId="3" fillId="0" borderId="0" xfId="1" applyNumberFormat="1" applyFont="1"/>
    <xf numFmtId="169" fontId="3" fillId="0" borderId="0" xfId="6" applyNumberFormat="1" applyFont="1"/>
    <xf numFmtId="0" fontId="13" fillId="0" borderId="0" xfId="7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  <xf numFmtId="166" fontId="2" fillId="0" borderId="0" xfId="1" applyNumberFormat="1" applyFont="1"/>
    <xf numFmtId="169" fontId="2" fillId="0" borderId="0" xfId="6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69" fontId="3" fillId="0" borderId="0" xfId="6" applyNumberFormat="1" applyFont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20" xfId="0" applyFont="1" applyBorder="1"/>
    <xf numFmtId="0" fontId="3" fillId="0" borderId="20" xfId="0" applyFont="1" applyBorder="1" applyAlignment="1">
      <alignment horizontal="right"/>
    </xf>
    <xf numFmtId="0" fontId="3" fillId="0" borderId="20" xfId="0" applyFont="1" applyBorder="1" applyAlignment="1">
      <alignment horizontal="center" vertical="center"/>
    </xf>
    <xf numFmtId="166" fontId="3" fillId="0" borderId="20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3" fillId="0" borderId="0" xfId="6" applyNumberFormat="1" applyFont="1" applyAlignment="1">
      <alignment vertical="center"/>
    </xf>
    <xf numFmtId="166" fontId="14" fillId="0" borderId="1" xfId="1" applyNumberFormat="1" applyFont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2" fillId="0" borderId="22" xfId="0" applyFont="1" applyBorder="1" applyAlignment="1">
      <alignment vertical="center"/>
    </xf>
    <xf numFmtId="166" fontId="13" fillId="0" borderId="16" xfId="1" applyNumberFormat="1" applyFont="1" applyBorder="1" applyAlignment="1"/>
    <xf numFmtId="169" fontId="3" fillId="0" borderId="0" xfId="0" applyNumberFormat="1" applyFont="1"/>
    <xf numFmtId="167" fontId="3" fillId="0" borderId="0" xfId="3" applyNumberFormat="1" applyFont="1"/>
    <xf numFmtId="166" fontId="14" fillId="0" borderId="1" xfId="1" applyNumberFormat="1" applyFont="1" applyBorder="1" applyAlignment="1">
      <alignment vertical="center"/>
    </xf>
    <xf numFmtId="41" fontId="14" fillId="0" borderId="1" xfId="7" applyNumberFormat="1" applyFont="1" applyBorder="1" applyAlignment="1">
      <alignment vertical="center"/>
    </xf>
    <xf numFmtId="0" fontId="13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vertical="center"/>
    </xf>
    <xf numFmtId="166" fontId="13" fillId="0" borderId="1" xfId="1" applyNumberFormat="1" applyFont="1" applyBorder="1" applyAlignment="1"/>
    <xf numFmtId="0" fontId="2" fillId="0" borderId="2" xfId="0" applyFont="1" applyBorder="1" applyAlignment="1">
      <alignment vertical="center"/>
    </xf>
    <xf numFmtId="166" fontId="13" fillId="0" borderId="16" xfId="1" applyNumberFormat="1" applyFont="1" applyBorder="1" applyAlignment="1">
      <alignment horizontal="right"/>
    </xf>
    <xf numFmtId="0" fontId="2" fillId="0" borderId="3" xfId="0" applyFont="1" applyBorder="1" applyAlignment="1">
      <alignment vertical="center"/>
    </xf>
    <xf numFmtId="166" fontId="13" fillId="0" borderId="3" xfId="1" applyNumberFormat="1" applyFont="1" applyBorder="1" applyAlignment="1">
      <alignment horizontal="center"/>
    </xf>
    <xf numFmtId="166" fontId="13" fillId="0" borderId="21" xfId="1" applyNumberFormat="1" applyFont="1" applyBorder="1" applyAlignment="1"/>
    <xf numFmtId="166" fontId="14" fillId="0" borderId="0" xfId="1" applyNumberFormat="1" applyFont="1" applyBorder="1" applyAlignment="1">
      <alignment vertical="center"/>
    </xf>
    <xf numFmtId="41" fontId="14" fillId="0" borderId="0" xfId="7" applyNumberFormat="1" applyFont="1" applyAlignment="1">
      <alignment vertical="center"/>
    </xf>
    <xf numFmtId="166" fontId="13" fillId="3" borderId="1" xfId="1" applyNumberFormat="1" applyFont="1" applyFill="1" applyBorder="1" applyAlignment="1"/>
    <xf numFmtId="166" fontId="3" fillId="0" borderId="0" xfId="0" applyNumberFormat="1" applyFont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8" fontId="3" fillId="0" borderId="0" xfId="0" applyNumberFormat="1" applyFont="1"/>
    <xf numFmtId="0" fontId="3" fillId="0" borderId="0" xfId="1" applyNumberFormat="1" applyFont="1" applyAlignment="1">
      <alignment horizontal="left"/>
    </xf>
    <xf numFmtId="10" fontId="3" fillId="0" borderId="0" xfId="3" applyNumberFormat="1" applyFont="1"/>
    <xf numFmtId="9" fontId="3" fillId="0" borderId="0" xfId="3" applyFont="1"/>
    <xf numFmtId="0" fontId="3" fillId="0" borderId="0" xfId="0" quotePrefix="1" applyFont="1"/>
    <xf numFmtId="166" fontId="3" fillId="0" borderId="0" xfId="0" quotePrefix="1" applyNumberFormat="1" applyFont="1"/>
    <xf numFmtId="166" fontId="13" fillId="0" borderId="0" xfId="1" applyNumberFormat="1" applyFont="1" applyBorder="1" applyAlignment="1">
      <alignment horizontal="right"/>
    </xf>
    <xf numFmtId="0" fontId="1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2" fontId="3" fillId="0" borderId="0" xfId="0" applyNumberFormat="1" applyFont="1" applyAlignment="1">
      <alignment vertical="center"/>
    </xf>
    <xf numFmtId="9" fontId="7" fillId="0" borderId="0" xfId="3" applyFont="1" applyAlignment="1">
      <alignment vertical="center"/>
    </xf>
    <xf numFmtId="41" fontId="3" fillId="0" borderId="0" xfId="3" applyNumberFormat="1" applyFont="1"/>
    <xf numFmtId="42" fontId="3" fillId="0" borderId="0" xfId="3" applyNumberFormat="1" applyFont="1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42" fontId="2" fillId="3" borderId="3" xfId="0" applyNumberFormat="1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42" fontId="2" fillId="0" borderId="0" xfId="0" applyNumberFormat="1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172" fontId="9" fillId="3" borderId="1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readingOrder="1"/>
    </xf>
    <xf numFmtId="0" fontId="7" fillId="0" borderId="18" xfId="0" applyFont="1" applyBorder="1" applyAlignment="1">
      <alignment horizontal="center" vertical="center" readingOrder="1"/>
    </xf>
    <xf numFmtId="0" fontId="7" fillId="0" borderId="4" xfId="0" applyFont="1" applyBorder="1" applyAlignment="1">
      <alignment horizontal="left" vertical="center" wrapText="1"/>
    </xf>
    <xf numFmtId="0" fontId="7" fillId="0" borderId="25" xfId="0" applyFont="1" applyBorder="1" applyAlignment="1">
      <alignment vertical="center" readingOrder="1"/>
    </xf>
    <xf numFmtId="0" fontId="7" fillId="0" borderId="26" xfId="0" applyFont="1" applyBorder="1" applyAlignment="1">
      <alignment horizontal="left" vertical="center" wrapText="1" readingOrder="1"/>
    </xf>
    <xf numFmtId="0" fontId="7" fillId="0" borderId="33" xfId="0" applyFont="1" applyBorder="1" applyAlignment="1">
      <alignment vertical="center" readingOrder="1"/>
    </xf>
    <xf numFmtId="0" fontId="7" fillId="0" borderId="34" xfId="0" applyFont="1" applyBorder="1" applyAlignment="1">
      <alignment vertical="center" readingOrder="1"/>
    </xf>
    <xf numFmtId="0" fontId="7" fillId="0" borderId="10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/>
    </xf>
    <xf numFmtId="0" fontId="7" fillId="0" borderId="40" xfId="0" applyFont="1" applyBorder="1" applyAlignment="1">
      <alignment horizontal="left" vertical="center" wrapText="1" readingOrder="1"/>
    </xf>
    <xf numFmtId="0" fontId="7" fillId="0" borderId="35" xfId="0" applyFont="1" applyBorder="1" applyAlignment="1">
      <alignment horizontal="center" vertical="center" readingOrder="1"/>
    </xf>
    <xf numFmtId="0" fontId="7" fillId="0" borderId="41" xfId="0" applyFont="1" applyBorder="1" applyAlignment="1">
      <alignment horizontal="left" vertical="center" wrapText="1" readingOrder="1"/>
    </xf>
    <xf numFmtId="0" fontId="7" fillId="0" borderId="36" xfId="0" applyFont="1" applyBorder="1" applyAlignment="1">
      <alignment horizontal="center" vertical="center" readingOrder="1"/>
    </xf>
    <xf numFmtId="0" fontId="7" fillId="0" borderId="4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14" fillId="5" borderId="17" xfId="13" quotePrefix="1" applyFont="1" applyFill="1" applyBorder="1" applyAlignment="1">
      <alignment horizontal="left" vertical="center"/>
    </xf>
    <xf numFmtId="0" fontId="14" fillId="6" borderId="17" xfId="13" applyFont="1" applyFill="1" applyBorder="1" applyAlignment="1">
      <alignment horizontal="center" vertical="center"/>
    </xf>
    <xf numFmtId="0" fontId="14" fillId="6" borderId="21" xfId="13" applyFont="1" applyFill="1" applyBorder="1" applyAlignment="1">
      <alignment horizontal="center" vertical="center"/>
    </xf>
    <xf numFmtId="0" fontId="14" fillId="6" borderId="16" xfId="13" quotePrefix="1" applyFont="1" applyFill="1" applyBorder="1" applyAlignment="1">
      <alignment horizontal="left" vertical="center"/>
    </xf>
    <xf numFmtId="0" fontId="14" fillId="0" borderId="1" xfId="13" applyFont="1" applyBorder="1" applyAlignment="1">
      <alignment horizontal="center" vertical="center"/>
    </xf>
    <xf numFmtId="0" fontId="14" fillId="0" borderId="43" xfId="13" applyFont="1" applyBorder="1" applyAlignment="1">
      <alignment horizontal="center" vertical="center"/>
    </xf>
    <xf numFmtId="42" fontId="14" fillId="0" borderId="16" xfId="12" applyNumberFormat="1" applyFont="1" applyFill="1" applyBorder="1" applyAlignment="1">
      <alignment vertical="center"/>
    </xf>
    <xf numFmtId="0" fontId="14" fillId="0" borderId="17" xfId="13" quotePrefix="1" applyFont="1" applyBorder="1" applyAlignment="1">
      <alignment horizontal="left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42" fontId="32" fillId="0" borderId="0" xfId="0" applyNumberFormat="1" applyFont="1" applyAlignment="1">
      <alignment vertical="center"/>
    </xf>
    <xf numFmtId="0" fontId="32" fillId="0" borderId="0" xfId="0" applyFont="1" applyAlignment="1">
      <alignment horizontal="left" vertical="center"/>
    </xf>
    <xf numFmtId="42" fontId="33" fillId="0" borderId="0" xfId="0" applyNumberFormat="1" applyFont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0" fontId="7" fillId="0" borderId="0" xfId="3" applyNumberFormat="1" applyFont="1" applyAlignment="1">
      <alignment vertical="center"/>
    </xf>
    <xf numFmtId="0" fontId="16" fillId="0" borderId="44" xfId="0" applyFont="1" applyBorder="1" applyAlignment="1">
      <alignment horizontal="left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vertical="center"/>
    </xf>
    <xf numFmtId="0" fontId="7" fillId="0" borderId="4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7" fillId="0" borderId="37" xfId="0" applyFont="1" applyBorder="1" applyAlignment="1">
      <alignment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 readingOrder="1"/>
    </xf>
    <xf numFmtId="0" fontId="7" fillId="0" borderId="38" xfId="0" applyFont="1" applyBorder="1" applyAlignment="1">
      <alignment horizontal="left" vertical="center" wrapText="1" readingOrder="1"/>
    </xf>
    <xf numFmtId="0" fontId="7" fillId="0" borderId="39" xfId="0" applyFont="1" applyBorder="1" applyAlignment="1">
      <alignment horizontal="left" vertical="center" wrapText="1" readingOrder="1"/>
    </xf>
    <xf numFmtId="0" fontId="7" fillId="0" borderId="1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165" fontId="3" fillId="0" borderId="0" xfId="0" applyNumberFormat="1" applyFont="1" applyAlignment="1">
      <alignment vertical="center"/>
    </xf>
    <xf numFmtId="165" fontId="32" fillId="0" borderId="0" xfId="0" applyNumberFormat="1" applyFont="1" applyAlignment="1">
      <alignment vertical="center"/>
    </xf>
    <xf numFmtId="165" fontId="13" fillId="0" borderId="1" xfId="0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vertical="center"/>
    </xf>
    <xf numFmtId="165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vertical="center"/>
    </xf>
    <xf numFmtId="166" fontId="2" fillId="4" borderId="1" xfId="1" applyNumberFormat="1" applyFont="1" applyFill="1" applyBorder="1" applyAlignment="1">
      <alignment vertical="center"/>
    </xf>
    <xf numFmtId="165" fontId="2" fillId="0" borderId="0" xfId="0" applyNumberFormat="1" applyFont="1" applyAlignment="1">
      <alignment vertical="center"/>
    </xf>
    <xf numFmtId="42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6" fontId="3" fillId="0" borderId="0" xfId="3" applyNumberFormat="1" applyFont="1"/>
    <xf numFmtId="0" fontId="3" fillId="0" borderId="9" xfId="0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1" borderId="2" xfId="0" applyFont="1" applyFill="1" applyBorder="1" applyAlignment="1">
      <alignment horizontal="center" vertical="center"/>
    </xf>
    <xf numFmtId="0" fontId="13" fillId="1" borderId="3" xfId="0" applyFont="1" applyFill="1" applyBorder="1" applyAlignment="1">
      <alignment horizontal="center" vertical="center"/>
    </xf>
    <xf numFmtId="0" fontId="13" fillId="1" borderId="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166" fontId="13" fillId="0" borderId="2" xfId="1" applyNumberFormat="1" applyFont="1" applyBorder="1" applyAlignment="1">
      <alignment horizontal="center"/>
    </xf>
    <xf numFmtId="166" fontId="13" fillId="0" borderId="4" xfId="1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6" fontId="13" fillId="0" borderId="17" xfId="1" applyNumberFormat="1" applyFont="1" applyBorder="1" applyAlignment="1">
      <alignment horizontal="center"/>
    </xf>
    <xf numFmtId="166" fontId="13" fillId="0" borderId="21" xfId="1" applyNumberFormat="1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3" borderId="4" xfId="4" applyFont="1" applyFill="1" applyBorder="1" applyAlignment="1">
      <alignment horizontal="left" vertical="center" wrapText="1" indent="3"/>
    </xf>
    <xf numFmtId="0" fontId="9" fillId="3" borderId="1" xfId="4" applyFont="1" applyFill="1" applyBorder="1" applyAlignment="1">
      <alignment horizontal="left" vertical="center" wrapText="1" indent="3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3" fillId="1" borderId="2" xfId="13" applyFont="1" applyFill="1" applyBorder="1" applyAlignment="1">
      <alignment horizontal="center" vertical="center"/>
    </xf>
    <xf numFmtId="0" fontId="13" fillId="1" borderId="3" xfId="13" applyFont="1" applyFill="1" applyBorder="1" applyAlignment="1">
      <alignment horizontal="center" vertical="center"/>
    </xf>
    <xf numFmtId="0" fontId="13" fillId="1" borderId="4" xfId="13" applyFont="1" applyFill="1" applyBorder="1" applyAlignment="1">
      <alignment horizontal="center" vertical="center"/>
    </xf>
    <xf numFmtId="0" fontId="13" fillId="3" borderId="42" xfId="13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5" fillId="1" borderId="8" xfId="0" applyFont="1" applyFill="1" applyBorder="1" applyAlignment="1">
      <alignment horizontal="center" vertical="center"/>
    </xf>
    <xf numFmtId="0" fontId="25" fillId="1" borderId="9" xfId="0" applyFont="1" applyFill="1" applyBorder="1" applyAlignment="1">
      <alignment horizontal="center" vertical="center"/>
    </xf>
    <xf numFmtId="0" fontId="25" fillId="1" borderId="10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42" fontId="3" fillId="8" borderId="16" xfId="12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14" fillId="8" borderId="16" xfId="13" applyFont="1" applyFill="1" applyBorder="1" applyAlignment="1">
      <alignment horizontal="center" vertical="center"/>
    </xf>
    <xf numFmtId="0" fontId="14" fillId="8" borderId="16" xfId="13" quotePrefix="1" applyFont="1" applyFill="1" applyBorder="1" applyAlignment="1">
      <alignment horizontal="left" vertical="center"/>
    </xf>
    <xf numFmtId="0" fontId="14" fillId="8" borderId="17" xfId="13" applyFont="1" applyFill="1" applyBorder="1" applyAlignment="1">
      <alignment horizontal="center" vertical="center"/>
    </xf>
    <xf numFmtId="0" fontId="14" fillId="8" borderId="21" xfId="13" applyFont="1" applyFill="1" applyBorder="1" applyAlignment="1">
      <alignment horizontal="center" vertical="center"/>
    </xf>
    <xf numFmtId="42" fontId="3" fillId="8" borderId="16" xfId="12" applyNumberFormat="1" applyFont="1" applyFill="1" applyBorder="1" applyAlignment="1">
      <alignment vertical="center"/>
    </xf>
    <xf numFmtId="0" fontId="14" fillId="8" borderId="16" xfId="13" applyFont="1" applyFill="1" applyBorder="1" applyAlignment="1">
      <alignment horizontal="left" vertical="center"/>
    </xf>
  </cellXfs>
  <cellStyles count="14">
    <cellStyle name="Comma [0] 2" xfId="8" xr:uid="{64E753D3-383B-492F-97CE-A5EB90B2EABA}"/>
    <cellStyle name="Comma [0] 2 3" xfId="9" xr:uid="{AC42DC7D-9826-47B0-B5B6-508DCF0F3E8E}"/>
    <cellStyle name="Comma [0] 2 3 2" xfId="12" xr:uid="{F2DFB4BF-5750-422D-B8C0-52E6E85604FE}"/>
    <cellStyle name="Koma" xfId="1" builtinId="3"/>
    <cellStyle name="Koma [0]" xfId="2" builtinId="6"/>
    <cellStyle name="Mata Uang" xfId="6" builtinId="4"/>
    <cellStyle name="Normal" xfId="0" builtinId="0"/>
    <cellStyle name="Normal 10" xfId="10" xr:uid="{4C748DAC-AB0B-4EE8-BC34-B7B7538327FF}"/>
    <cellStyle name="Normal 2" xfId="5" xr:uid="{BB646D5F-6529-4388-B320-09199A55DB4B}"/>
    <cellStyle name="Normal 2 2" xfId="7" xr:uid="{05F2E780-DE85-460F-BBC4-B11F04BF844D}"/>
    <cellStyle name="Normal 2 2 2" xfId="13" xr:uid="{818EA4FC-7E79-40C9-A718-D7677482FC1A}"/>
    <cellStyle name="Normal 3 2 2" xfId="4" xr:uid="{66FBCCD5-AD9C-4143-9F89-6EFB1D066BDC}"/>
    <cellStyle name="Normal 5 2" xfId="11" xr:uid="{C8B30191-797A-4F20-AD8B-E2B7C482AECD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1059</xdr:colOff>
      <xdr:row>1</xdr:row>
      <xdr:rowOff>11641</xdr:rowOff>
    </xdr:from>
    <xdr:to>
      <xdr:col>3</xdr:col>
      <xdr:colOff>295276</xdr:colOff>
      <xdr:row>3</xdr:row>
      <xdr:rowOff>83607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6F72AF-201F-42D3-B9A9-79330ECA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6" y="191558"/>
          <a:ext cx="1045633" cy="410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45</xdr:row>
      <xdr:rowOff>95250</xdr:rowOff>
    </xdr:from>
    <xdr:to>
      <xdr:col>3</xdr:col>
      <xdr:colOff>941917</xdr:colOff>
      <xdr:row>46</xdr:row>
      <xdr:rowOff>86783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63E117-6B8E-46DF-A73B-2BCBA4C3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7594600"/>
          <a:ext cx="1670050" cy="165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42</xdr:row>
      <xdr:rowOff>88900</xdr:rowOff>
    </xdr:from>
    <xdr:to>
      <xdr:col>2</xdr:col>
      <xdr:colOff>1365250</xdr:colOff>
      <xdr:row>43</xdr:row>
      <xdr:rowOff>64558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5918F8C-9A89-496F-A7AF-CA91B900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5557500"/>
          <a:ext cx="167640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42</xdr:row>
      <xdr:rowOff>27513</xdr:rowOff>
    </xdr:from>
    <xdr:to>
      <xdr:col>2</xdr:col>
      <xdr:colOff>891117</xdr:colOff>
      <xdr:row>47</xdr:row>
      <xdr:rowOff>77255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0DF5C7-C7C5-41C1-9DDF-4CD719CE5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5235763"/>
          <a:ext cx="751417" cy="944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10585</xdr:colOff>
      <xdr:row>0</xdr:row>
      <xdr:rowOff>0</xdr:rowOff>
    </xdr:from>
    <xdr:to>
      <xdr:col>2</xdr:col>
      <xdr:colOff>1202268</xdr:colOff>
      <xdr:row>4</xdr:row>
      <xdr:rowOff>13002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9809ADF2-0C91-4737-B0AB-EE0552E0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168" y="0"/>
          <a:ext cx="1530350" cy="690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232834</xdr:colOff>
      <xdr:row>0</xdr:row>
      <xdr:rowOff>74084</xdr:rowOff>
    </xdr:from>
    <xdr:to>
      <xdr:col>16</xdr:col>
      <xdr:colOff>133351</xdr:colOff>
      <xdr:row>11</xdr:row>
      <xdr:rowOff>18017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8C4678-33EE-4285-9702-633809936D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56544"/>
        <a:stretch/>
      </xdr:blipFill>
      <xdr:spPr>
        <a:xfrm>
          <a:off x="9154584" y="74084"/>
          <a:ext cx="5334000" cy="1912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137885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18646DE-B7ED-4CE9-BA81-B69E47BE5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350"/>
          <a:ext cx="15367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412750</xdr:colOff>
      <xdr:row>49</xdr:row>
      <xdr:rowOff>150812</xdr:rowOff>
    </xdr:from>
    <xdr:to>
      <xdr:col>3</xdr:col>
      <xdr:colOff>305857</xdr:colOff>
      <xdr:row>50</xdr:row>
      <xdr:rowOff>141742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6A7AA16-A0FB-4748-AA3A-8826F621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8929687"/>
          <a:ext cx="1615546" cy="174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1411514</xdr:colOff>
      <xdr:row>49</xdr:row>
      <xdr:rowOff>149679</xdr:rowOff>
    </xdr:from>
    <xdr:to>
      <xdr:col>3</xdr:col>
      <xdr:colOff>434068</xdr:colOff>
      <xdr:row>54</xdr:row>
      <xdr:rowOff>133049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966F513-06AC-403F-B2A6-344F1B5FD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157" y="8948965"/>
          <a:ext cx="746125" cy="890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138113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AF3F2463-0215-4FF2-8569-D81737F7E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" y="6350"/>
          <a:ext cx="153035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138113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A07229D-5937-447F-8D6C-ECA649475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" y="6350"/>
          <a:ext cx="1530350" cy="646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1073150</xdr:colOff>
      <xdr:row>3</xdr:row>
      <xdr:rowOff>22225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C950E-51C4-498F-BCBB-A7E3B9B0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" y="0"/>
          <a:ext cx="1530350" cy="574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50116061\Downloads\CS%200066%20-%20List%20Manpower%20Job%20Supply%20Services%20PT%20United%20Tractors%20Tbk%20Head%20Office%202025%20(R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ing Letter "/>
      <sheetName val="RECAP"/>
      <sheetName val="SC HO"/>
      <sheetName val="TOOLS RECAP"/>
      <sheetName val="TOOLS RECAP (2)"/>
      <sheetName val="SERTIFIKASI"/>
      <sheetName val="LIST MP"/>
    </sheetNames>
    <sheetDataSet>
      <sheetData sheetId="0">
        <row r="5">
          <cell r="D5" t="str">
            <v>CS/0066/2025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953-6355-4696-9542-9ACD03F9E558}">
  <sheetPr>
    <pageSetUpPr fitToPage="1"/>
  </sheetPr>
  <dimension ref="B4:F50"/>
  <sheetViews>
    <sheetView showGridLines="0" view="pageBreakPreview" topLeftCell="A19" zoomScale="70" zoomScaleNormal="100" zoomScaleSheetLayoutView="70" workbookViewId="0">
      <selection activeCell="D89" sqref="D89"/>
    </sheetView>
  </sheetViews>
  <sheetFormatPr defaultColWidth="9.21875" defaultRowHeight="14.4" x14ac:dyDescent="0.35"/>
  <cols>
    <col min="1" max="1" width="4" style="186" customWidth="1"/>
    <col min="2" max="2" width="9.21875" style="186"/>
    <col min="3" max="3" width="1.44140625" style="186" bestFit="1" customWidth="1"/>
    <col min="4" max="4" width="16.5546875" style="186" customWidth="1"/>
    <col min="5" max="5" width="52.77734375" style="186" customWidth="1"/>
    <col min="6" max="6" width="17.77734375" style="186" customWidth="1"/>
    <col min="7" max="7" width="3.77734375" style="186" customWidth="1"/>
    <col min="8" max="256" width="9.21875" style="186"/>
    <col min="257" max="257" width="4" style="186" customWidth="1"/>
    <col min="258" max="258" width="9.21875" style="186"/>
    <col min="259" max="259" width="1.44140625" style="186" bestFit="1" customWidth="1"/>
    <col min="260" max="260" width="13.44140625" style="186" customWidth="1"/>
    <col min="261" max="261" width="52.77734375" style="186" customWidth="1"/>
    <col min="262" max="262" width="17.77734375" style="186" customWidth="1"/>
    <col min="263" max="263" width="3.77734375" style="186" customWidth="1"/>
    <col min="264" max="512" width="9.21875" style="186"/>
    <col min="513" max="513" width="4" style="186" customWidth="1"/>
    <col min="514" max="514" width="9.21875" style="186"/>
    <col min="515" max="515" width="1.44140625" style="186" bestFit="1" customWidth="1"/>
    <col min="516" max="516" width="13.44140625" style="186" customWidth="1"/>
    <col min="517" max="517" width="52.77734375" style="186" customWidth="1"/>
    <col min="518" max="518" width="17.77734375" style="186" customWidth="1"/>
    <col min="519" max="519" width="3.77734375" style="186" customWidth="1"/>
    <col min="520" max="768" width="9.21875" style="186"/>
    <col min="769" max="769" width="4" style="186" customWidth="1"/>
    <col min="770" max="770" width="9.21875" style="186"/>
    <col min="771" max="771" width="1.44140625" style="186" bestFit="1" customWidth="1"/>
    <col min="772" max="772" width="13.44140625" style="186" customWidth="1"/>
    <col min="773" max="773" width="52.77734375" style="186" customWidth="1"/>
    <col min="774" max="774" width="17.77734375" style="186" customWidth="1"/>
    <col min="775" max="775" width="3.77734375" style="186" customWidth="1"/>
    <col min="776" max="1024" width="9.21875" style="186"/>
    <col min="1025" max="1025" width="4" style="186" customWidth="1"/>
    <col min="1026" max="1026" width="9.21875" style="186"/>
    <col min="1027" max="1027" width="1.44140625" style="186" bestFit="1" customWidth="1"/>
    <col min="1028" max="1028" width="13.44140625" style="186" customWidth="1"/>
    <col min="1029" max="1029" width="52.77734375" style="186" customWidth="1"/>
    <col min="1030" max="1030" width="17.77734375" style="186" customWidth="1"/>
    <col min="1031" max="1031" width="3.77734375" style="186" customWidth="1"/>
    <col min="1032" max="1280" width="9.21875" style="186"/>
    <col min="1281" max="1281" width="4" style="186" customWidth="1"/>
    <col min="1282" max="1282" width="9.21875" style="186"/>
    <col min="1283" max="1283" width="1.44140625" style="186" bestFit="1" customWidth="1"/>
    <col min="1284" max="1284" width="13.44140625" style="186" customWidth="1"/>
    <col min="1285" max="1285" width="52.77734375" style="186" customWidth="1"/>
    <col min="1286" max="1286" width="17.77734375" style="186" customWidth="1"/>
    <col min="1287" max="1287" width="3.77734375" style="186" customWidth="1"/>
    <col min="1288" max="1536" width="9.21875" style="186"/>
    <col min="1537" max="1537" width="4" style="186" customWidth="1"/>
    <col min="1538" max="1538" width="9.21875" style="186"/>
    <col min="1539" max="1539" width="1.44140625" style="186" bestFit="1" customWidth="1"/>
    <col min="1540" max="1540" width="13.44140625" style="186" customWidth="1"/>
    <col min="1541" max="1541" width="52.77734375" style="186" customWidth="1"/>
    <col min="1542" max="1542" width="17.77734375" style="186" customWidth="1"/>
    <col min="1543" max="1543" width="3.77734375" style="186" customWidth="1"/>
    <col min="1544" max="1792" width="9.21875" style="186"/>
    <col min="1793" max="1793" width="4" style="186" customWidth="1"/>
    <col min="1794" max="1794" width="9.21875" style="186"/>
    <col min="1795" max="1795" width="1.44140625" style="186" bestFit="1" customWidth="1"/>
    <col min="1796" max="1796" width="13.44140625" style="186" customWidth="1"/>
    <col min="1797" max="1797" width="52.77734375" style="186" customWidth="1"/>
    <col min="1798" max="1798" width="17.77734375" style="186" customWidth="1"/>
    <col min="1799" max="1799" width="3.77734375" style="186" customWidth="1"/>
    <col min="1800" max="2048" width="9.21875" style="186"/>
    <col min="2049" max="2049" width="4" style="186" customWidth="1"/>
    <col min="2050" max="2050" width="9.21875" style="186"/>
    <col min="2051" max="2051" width="1.44140625" style="186" bestFit="1" customWidth="1"/>
    <col min="2052" max="2052" width="13.44140625" style="186" customWidth="1"/>
    <col min="2053" max="2053" width="52.77734375" style="186" customWidth="1"/>
    <col min="2054" max="2054" width="17.77734375" style="186" customWidth="1"/>
    <col min="2055" max="2055" width="3.77734375" style="186" customWidth="1"/>
    <col min="2056" max="2304" width="9.21875" style="186"/>
    <col min="2305" max="2305" width="4" style="186" customWidth="1"/>
    <col min="2306" max="2306" width="9.21875" style="186"/>
    <col min="2307" max="2307" width="1.44140625" style="186" bestFit="1" customWidth="1"/>
    <col min="2308" max="2308" width="13.44140625" style="186" customWidth="1"/>
    <col min="2309" max="2309" width="52.77734375" style="186" customWidth="1"/>
    <col min="2310" max="2310" width="17.77734375" style="186" customWidth="1"/>
    <col min="2311" max="2311" width="3.77734375" style="186" customWidth="1"/>
    <col min="2312" max="2560" width="9.21875" style="186"/>
    <col min="2561" max="2561" width="4" style="186" customWidth="1"/>
    <col min="2562" max="2562" width="9.21875" style="186"/>
    <col min="2563" max="2563" width="1.44140625" style="186" bestFit="1" customWidth="1"/>
    <col min="2564" max="2564" width="13.44140625" style="186" customWidth="1"/>
    <col min="2565" max="2565" width="52.77734375" style="186" customWidth="1"/>
    <col min="2566" max="2566" width="17.77734375" style="186" customWidth="1"/>
    <col min="2567" max="2567" width="3.77734375" style="186" customWidth="1"/>
    <col min="2568" max="2816" width="9.21875" style="186"/>
    <col min="2817" max="2817" width="4" style="186" customWidth="1"/>
    <col min="2818" max="2818" width="9.21875" style="186"/>
    <col min="2819" max="2819" width="1.44140625" style="186" bestFit="1" customWidth="1"/>
    <col min="2820" max="2820" width="13.44140625" style="186" customWidth="1"/>
    <col min="2821" max="2821" width="52.77734375" style="186" customWidth="1"/>
    <col min="2822" max="2822" width="17.77734375" style="186" customWidth="1"/>
    <col min="2823" max="2823" width="3.77734375" style="186" customWidth="1"/>
    <col min="2824" max="3072" width="9.21875" style="186"/>
    <col min="3073" max="3073" width="4" style="186" customWidth="1"/>
    <col min="3074" max="3074" width="9.21875" style="186"/>
    <col min="3075" max="3075" width="1.44140625" style="186" bestFit="1" customWidth="1"/>
    <col min="3076" max="3076" width="13.44140625" style="186" customWidth="1"/>
    <col min="3077" max="3077" width="52.77734375" style="186" customWidth="1"/>
    <col min="3078" max="3078" width="17.77734375" style="186" customWidth="1"/>
    <col min="3079" max="3079" width="3.77734375" style="186" customWidth="1"/>
    <col min="3080" max="3328" width="9.21875" style="186"/>
    <col min="3329" max="3329" width="4" style="186" customWidth="1"/>
    <col min="3330" max="3330" width="9.21875" style="186"/>
    <col min="3331" max="3331" width="1.44140625" style="186" bestFit="1" customWidth="1"/>
    <col min="3332" max="3332" width="13.44140625" style="186" customWidth="1"/>
    <col min="3333" max="3333" width="52.77734375" style="186" customWidth="1"/>
    <col min="3334" max="3334" width="17.77734375" style="186" customWidth="1"/>
    <col min="3335" max="3335" width="3.77734375" style="186" customWidth="1"/>
    <col min="3336" max="3584" width="9.21875" style="186"/>
    <col min="3585" max="3585" width="4" style="186" customWidth="1"/>
    <col min="3586" max="3586" width="9.21875" style="186"/>
    <col min="3587" max="3587" width="1.44140625" style="186" bestFit="1" customWidth="1"/>
    <col min="3588" max="3588" width="13.44140625" style="186" customWidth="1"/>
    <col min="3589" max="3589" width="52.77734375" style="186" customWidth="1"/>
    <col min="3590" max="3590" width="17.77734375" style="186" customWidth="1"/>
    <col min="3591" max="3591" width="3.77734375" style="186" customWidth="1"/>
    <col min="3592" max="3840" width="9.21875" style="186"/>
    <col min="3841" max="3841" width="4" style="186" customWidth="1"/>
    <col min="3842" max="3842" width="9.21875" style="186"/>
    <col min="3843" max="3843" width="1.44140625" style="186" bestFit="1" customWidth="1"/>
    <col min="3844" max="3844" width="13.44140625" style="186" customWidth="1"/>
    <col min="3845" max="3845" width="52.77734375" style="186" customWidth="1"/>
    <col min="3846" max="3846" width="17.77734375" style="186" customWidth="1"/>
    <col min="3847" max="3847" width="3.77734375" style="186" customWidth="1"/>
    <col min="3848" max="4096" width="9.21875" style="186"/>
    <col min="4097" max="4097" width="4" style="186" customWidth="1"/>
    <col min="4098" max="4098" width="9.21875" style="186"/>
    <col min="4099" max="4099" width="1.44140625" style="186" bestFit="1" customWidth="1"/>
    <col min="4100" max="4100" width="13.44140625" style="186" customWidth="1"/>
    <col min="4101" max="4101" width="52.77734375" style="186" customWidth="1"/>
    <col min="4102" max="4102" width="17.77734375" style="186" customWidth="1"/>
    <col min="4103" max="4103" width="3.77734375" style="186" customWidth="1"/>
    <col min="4104" max="4352" width="9.21875" style="186"/>
    <col min="4353" max="4353" width="4" style="186" customWidth="1"/>
    <col min="4354" max="4354" width="9.21875" style="186"/>
    <col min="4355" max="4355" width="1.44140625" style="186" bestFit="1" customWidth="1"/>
    <col min="4356" max="4356" width="13.44140625" style="186" customWidth="1"/>
    <col min="4357" max="4357" width="52.77734375" style="186" customWidth="1"/>
    <col min="4358" max="4358" width="17.77734375" style="186" customWidth="1"/>
    <col min="4359" max="4359" width="3.77734375" style="186" customWidth="1"/>
    <col min="4360" max="4608" width="9.21875" style="186"/>
    <col min="4609" max="4609" width="4" style="186" customWidth="1"/>
    <col min="4610" max="4610" width="9.21875" style="186"/>
    <col min="4611" max="4611" width="1.44140625" style="186" bestFit="1" customWidth="1"/>
    <col min="4612" max="4612" width="13.44140625" style="186" customWidth="1"/>
    <col min="4613" max="4613" width="52.77734375" style="186" customWidth="1"/>
    <col min="4614" max="4614" width="17.77734375" style="186" customWidth="1"/>
    <col min="4615" max="4615" width="3.77734375" style="186" customWidth="1"/>
    <col min="4616" max="4864" width="9.21875" style="186"/>
    <col min="4865" max="4865" width="4" style="186" customWidth="1"/>
    <col min="4866" max="4866" width="9.21875" style="186"/>
    <col min="4867" max="4867" width="1.44140625" style="186" bestFit="1" customWidth="1"/>
    <col min="4868" max="4868" width="13.44140625" style="186" customWidth="1"/>
    <col min="4869" max="4869" width="52.77734375" style="186" customWidth="1"/>
    <col min="4870" max="4870" width="17.77734375" style="186" customWidth="1"/>
    <col min="4871" max="4871" width="3.77734375" style="186" customWidth="1"/>
    <col min="4872" max="5120" width="9.21875" style="186"/>
    <col min="5121" max="5121" width="4" style="186" customWidth="1"/>
    <col min="5122" max="5122" width="9.21875" style="186"/>
    <col min="5123" max="5123" width="1.44140625" style="186" bestFit="1" customWidth="1"/>
    <col min="5124" max="5124" width="13.44140625" style="186" customWidth="1"/>
    <col min="5125" max="5125" width="52.77734375" style="186" customWidth="1"/>
    <col min="5126" max="5126" width="17.77734375" style="186" customWidth="1"/>
    <col min="5127" max="5127" width="3.77734375" style="186" customWidth="1"/>
    <col min="5128" max="5376" width="9.21875" style="186"/>
    <col min="5377" max="5377" width="4" style="186" customWidth="1"/>
    <col min="5378" max="5378" width="9.21875" style="186"/>
    <col min="5379" max="5379" width="1.44140625" style="186" bestFit="1" customWidth="1"/>
    <col min="5380" max="5380" width="13.44140625" style="186" customWidth="1"/>
    <col min="5381" max="5381" width="52.77734375" style="186" customWidth="1"/>
    <col min="5382" max="5382" width="17.77734375" style="186" customWidth="1"/>
    <col min="5383" max="5383" width="3.77734375" style="186" customWidth="1"/>
    <col min="5384" max="5632" width="9.21875" style="186"/>
    <col min="5633" max="5633" width="4" style="186" customWidth="1"/>
    <col min="5634" max="5634" width="9.21875" style="186"/>
    <col min="5635" max="5635" width="1.44140625" style="186" bestFit="1" customWidth="1"/>
    <col min="5636" max="5636" width="13.44140625" style="186" customWidth="1"/>
    <col min="5637" max="5637" width="52.77734375" style="186" customWidth="1"/>
    <col min="5638" max="5638" width="17.77734375" style="186" customWidth="1"/>
    <col min="5639" max="5639" width="3.77734375" style="186" customWidth="1"/>
    <col min="5640" max="5888" width="9.21875" style="186"/>
    <col min="5889" max="5889" width="4" style="186" customWidth="1"/>
    <col min="5890" max="5890" width="9.21875" style="186"/>
    <col min="5891" max="5891" width="1.44140625" style="186" bestFit="1" customWidth="1"/>
    <col min="5892" max="5892" width="13.44140625" style="186" customWidth="1"/>
    <col min="5893" max="5893" width="52.77734375" style="186" customWidth="1"/>
    <col min="5894" max="5894" width="17.77734375" style="186" customWidth="1"/>
    <col min="5895" max="5895" width="3.77734375" style="186" customWidth="1"/>
    <col min="5896" max="6144" width="9.21875" style="186"/>
    <col min="6145" max="6145" width="4" style="186" customWidth="1"/>
    <col min="6146" max="6146" width="9.21875" style="186"/>
    <col min="6147" max="6147" width="1.44140625" style="186" bestFit="1" customWidth="1"/>
    <col min="6148" max="6148" width="13.44140625" style="186" customWidth="1"/>
    <col min="6149" max="6149" width="52.77734375" style="186" customWidth="1"/>
    <col min="6150" max="6150" width="17.77734375" style="186" customWidth="1"/>
    <col min="6151" max="6151" width="3.77734375" style="186" customWidth="1"/>
    <col min="6152" max="6400" width="9.21875" style="186"/>
    <col min="6401" max="6401" width="4" style="186" customWidth="1"/>
    <col min="6402" max="6402" width="9.21875" style="186"/>
    <col min="6403" max="6403" width="1.44140625" style="186" bestFit="1" customWidth="1"/>
    <col min="6404" max="6404" width="13.44140625" style="186" customWidth="1"/>
    <col min="6405" max="6405" width="52.77734375" style="186" customWidth="1"/>
    <col min="6406" max="6406" width="17.77734375" style="186" customWidth="1"/>
    <col min="6407" max="6407" width="3.77734375" style="186" customWidth="1"/>
    <col min="6408" max="6656" width="9.21875" style="186"/>
    <col min="6657" max="6657" width="4" style="186" customWidth="1"/>
    <col min="6658" max="6658" width="9.21875" style="186"/>
    <col min="6659" max="6659" width="1.44140625" style="186" bestFit="1" customWidth="1"/>
    <col min="6660" max="6660" width="13.44140625" style="186" customWidth="1"/>
    <col min="6661" max="6661" width="52.77734375" style="186" customWidth="1"/>
    <col min="6662" max="6662" width="17.77734375" style="186" customWidth="1"/>
    <col min="6663" max="6663" width="3.77734375" style="186" customWidth="1"/>
    <col min="6664" max="6912" width="9.21875" style="186"/>
    <col min="6913" max="6913" width="4" style="186" customWidth="1"/>
    <col min="6914" max="6914" width="9.21875" style="186"/>
    <col min="6915" max="6915" width="1.44140625" style="186" bestFit="1" customWidth="1"/>
    <col min="6916" max="6916" width="13.44140625" style="186" customWidth="1"/>
    <col min="6917" max="6917" width="52.77734375" style="186" customWidth="1"/>
    <col min="6918" max="6918" width="17.77734375" style="186" customWidth="1"/>
    <col min="6919" max="6919" width="3.77734375" style="186" customWidth="1"/>
    <col min="6920" max="7168" width="9.21875" style="186"/>
    <col min="7169" max="7169" width="4" style="186" customWidth="1"/>
    <col min="7170" max="7170" width="9.21875" style="186"/>
    <col min="7171" max="7171" width="1.44140625" style="186" bestFit="1" customWidth="1"/>
    <col min="7172" max="7172" width="13.44140625" style="186" customWidth="1"/>
    <col min="7173" max="7173" width="52.77734375" style="186" customWidth="1"/>
    <col min="7174" max="7174" width="17.77734375" style="186" customWidth="1"/>
    <col min="7175" max="7175" width="3.77734375" style="186" customWidth="1"/>
    <col min="7176" max="7424" width="9.21875" style="186"/>
    <col min="7425" max="7425" width="4" style="186" customWidth="1"/>
    <col min="7426" max="7426" width="9.21875" style="186"/>
    <col min="7427" max="7427" width="1.44140625" style="186" bestFit="1" customWidth="1"/>
    <col min="7428" max="7428" width="13.44140625" style="186" customWidth="1"/>
    <col min="7429" max="7429" width="52.77734375" style="186" customWidth="1"/>
    <col min="7430" max="7430" width="17.77734375" style="186" customWidth="1"/>
    <col min="7431" max="7431" width="3.77734375" style="186" customWidth="1"/>
    <col min="7432" max="7680" width="9.21875" style="186"/>
    <col min="7681" max="7681" width="4" style="186" customWidth="1"/>
    <col min="7682" max="7682" width="9.21875" style="186"/>
    <col min="7683" max="7683" width="1.44140625" style="186" bestFit="1" customWidth="1"/>
    <col min="7684" max="7684" width="13.44140625" style="186" customWidth="1"/>
    <col min="7685" max="7685" width="52.77734375" style="186" customWidth="1"/>
    <col min="7686" max="7686" width="17.77734375" style="186" customWidth="1"/>
    <col min="7687" max="7687" width="3.77734375" style="186" customWidth="1"/>
    <col min="7688" max="7936" width="9.21875" style="186"/>
    <col min="7937" max="7937" width="4" style="186" customWidth="1"/>
    <col min="7938" max="7938" width="9.21875" style="186"/>
    <col min="7939" max="7939" width="1.44140625" style="186" bestFit="1" customWidth="1"/>
    <col min="7940" max="7940" width="13.44140625" style="186" customWidth="1"/>
    <col min="7941" max="7941" width="52.77734375" style="186" customWidth="1"/>
    <col min="7942" max="7942" width="17.77734375" style="186" customWidth="1"/>
    <col min="7943" max="7943" width="3.77734375" style="186" customWidth="1"/>
    <col min="7944" max="8192" width="9.21875" style="186"/>
    <col min="8193" max="8193" width="4" style="186" customWidth="1"/>
    <col min="8194" max="8194" width="9.21875" style="186"/>
    <col min="8195" max="8195" width="1.44140625" style="186" bestFit="1" customWidth="1"/>
    <col min="8196" max="8196" width="13.44140625" style="186" customWidth="1"/>
    <col min="8197" max="8197" width="52.77734375" style="186" customWidth="1"/>
    <col min="8198" max="8198" width="17.77734375" style="186" customWidth="1"/>
    <col min="8199" max="8199" width="3.77734375" style="186" customWidth="1"/>
    <col min="8200" max="8448" width="9.21875" style="186"/>
    <col min="8449" max="8449" width="4" style="186" customWidth="1"/>
    <col min="8450" max="8450" width="9.21875" style="186"/>
    <col min="8451" max="8451" width="1.44140625" style="186" bestFit="1" customWidth="1"/>
    <col min="8452" max="8452" width="13.44140625" style="186" customWidth="1"/>
    <col min="8453" max="8453" width="52.77734375" style="186" customWidth="1"/>
    <col min="8454" max="8454" width="17.77734375" style="186" customWidth="1"/>
    <col min="8455" max="8455" width="3.77734375" style="186" customWidth="1"/>
    <col min="8456" max="8704" width="9.21875" style="186"/>
    <col min="8705" max="8705" width="4" style="186" customWidth="1"/>
    <col min="8706" max="8706" width="9.21875" style="186"/>
    <col min="8707" max="8707" width="1.44140625" style="186" bestFit="1" customWidth="1"/>
    <col min="8708" max="8708" width="13.44140625" style="186" customWidth="1"/>
    <col min="8709" max="8709" width="52.77734375" style="186" customWidth="1"/>
    <col min="8710" max="8710" width="17.77734375" style="186" customWidth="1"/>
    <col min="8711" max="8711" width="3.77734375" style="186" customWidth="1"/>
    <col min="8712" max="8960" width="9.21875" style="186"/>
    <col min="8961" max="8961" width="4" style="186" customWidth="1"/>
    <col min="8962" max="8962" width="9.21875" style="186"/>
    <col min="8963" max="8963" width="1.44140625" style="186" bestFit="1" customWidth="1"/>
    <col min="8964" max="8964" width="13.44140625" style="186" customWidth="1"/>
    <col min="8965" max="8965" width="52.77734375" style="186" customWidth="1"/>
    <col min="8966" max="8966" width="17.77734375" style="186" customWidth="1"/>
    <col min="8967" max="8967" width="3.77734375" style="186" customWidth="1"/>
    <col min="8968" max="9216" width="9.21875" style="186"/>
    <col min="9217" max="9217" width="4" style="186" customWidth="1"/>
    <col min="9218" max="9218" width="9.21875" style="186"/>
    <col min="9219" max="9219" width="1.44140625" style="186" bestFit="1" customWidth="1"/>
    <col min="9220" max="9220" width="13.44140625" style="186" customWidth="1"/>
    <col min="9221" max="9221" width="52.77734375" style="186" customWidth="1"/>
    <col min="9222" max="9222" width="17.77734375" style="186" customWidth="1"/>
    <col min="9223" max="9223" width="3.77734375" style="186" customWidth="1"/>
    <col min="9224" max="9472" width="9.21875" style="186"/>
    <col min="9473" max="9473" width="4" style="186" customWidth="1"/>
    <col min="9474" max="9474" width="9.21875" style="186"/>
    <col min="9475" max="9475" width="1.44140625" style="186" bestFit="1" customWidth="1"/>
    <col min="9476" max="9476" width="13.44140625" style="186" customWidth="1"/>
    <col min="9477" max="9477" width="52.77734375" style="186" customWidth="1"/>
    <col min="9478" max="9478" width="17.77734375" style="186" customWidth="1"/>
    <col min="9479" max="9479" width="3.77734375" style="186" customWidth="1"/>
    <col min="9480" max="9728" width="9.21875" style="186"/>
    <col min="9729" max="9729" width="4" style="186" customWidth="1"/>
    <col min="9730" max="9730" width="9.21875" style="186"/>
    <col min="9731" max="9731" width="1.44140625" style="186" bestFit="1" customWidth="1"/>
    <col min="9732" max="9732" width="13.44140625" style="186" customWidth="1"/>
    <col min="9733" max="9733" width="52.77734375" style="186" customWidth="1"/>
    <col min="9734" max="9734" width="17.77734375" style="186" customWidth="1"/>
    <col min="9735" max="9735" width="3.77734375" style="186" customWidth="1"/>
    <col min="9736" max="9984" width="9.21875" style="186"/>
    <col min="9985" max="9985" width="4" style="186" customWidth="1"/>
    <col min="9986" max="9986" width="9.21875" style="186"/>
    <col min="9987" max="9987" width="1.44140625" style="186" bestFit="1" customWidth="1"/>
    <col min="9988" max="9988" width="13.44140625" style="186" customWidth="1"/>
    <col min="9989" max="9989" width="52.77734375" style="186" customWidth="1"/>
    <col min="9990" max="9990" width="17.77734375" style="186" customWidth="1"/>
    <col min="9991" max="9991" width="3.77734375" style="186" customWidth="1"/>
    <col min="9992" max="10240" width="9.21875" style="186"/>
    <col min="10241" max="10241" width="4" style="186" customWidth="1"/>
    <col min="10242" max="10242" width="9.21875" style="186"/>
    <col min="10243" max="10243" width="1.44140625" style="186" bestFit="1" customWidth="1"/>
    <col min="10244" max="10244" width="13.44140625" style="186" customWidth="1"/>
    <col min="10245" max="10245" width="52.77734375" style="186" customWidth="1"/>
    <col min="10246" max="10246" width="17.77734375" style="186" customWidth="1"/>
    <col min="10247" max="10247" width="3.77734375" style="186" customWidth="1"/>
    <col min="10248" max="10496" width="9.21875" style="186"/>
    <col min="10497" max="10497" width="4" style="186" customWidth="1"/>
    <col min="10498" max="10498" width="9.21875" style="186"/>
    <col min="10499" max="10499" width="1.44140625" style="186" bestFit="1" customWidth="1"/>
    <col min="10500" max="10500" width="13.44140625" style="186" customWidth="1"/>
    <col min="10501" max="10501" width="52.77734375" style="186" customWidth="1"/>
    <col min="10502" max="10502" width="17.77734375" style="186" customWidth="1"/>
    <col min="10503" max="10503" width="3.77734375" style="186" customWidth="1"/>
    <col min="10504" max="10752" width="9.21875" style="186"/>
    <col min="10753" max="10753" width="4" style="186" customWidth="1"/>
    <col min="10754" max="10754" width="9.21875" style="186"/>
    <col min="10755" max="10755" width="1.44140625" style="186" bestFit="1" customWidth="1"/>
    <col min="10756" max="10756" width="13.44140625" style="186" customWidth="1"/>
    <col min="10757" max="10757" width="52.77734375" style="186" customWidth="1"/>
    <col min="10758" max="10758" width="17.77734375" style="186" customWidth="1"/>
    <col min="10759" max="10759" width="3.77734375" style="186" customWidth="1"/>
    <col min="10760" max="11008" width="9.21875" style="186"/>
    <col min="11009" max="11009" width="4" style="186" customWidth="1"/>
    <col min="11010" max="11010" width="9.21875" style="186"/>
    <col min="11011" max="11011" width="1.44140625" style="186" bestFit="1" customWidth="1"/>
    <col min="11012" max="11012" width="13.44140625" style="186" customWidth="1"/>
    <col min="11013" max="11013" width="52.77734375" style="186" customWidth="1"/>
    <col min="11014" max="11014" width="17.77734375" style="186" customWidth="1"/>
    <col min="11015" max="11015" width="3.77734375" style="186" customWidth="1"/>
    <col min="11016" max="11264" width="9.21875" style="186"/>
    <col min="11265" max="11265" width="4" style="186" customWidth="1"/>
    <col min="11266" max="11266" width="9.21875" style="186"/>
    <col min="11267" max="11267" width="1.44140625" style="186" bestFit="1" customWidth="1"/>
    <col min="11268" max="11268" width="13.44140625" style="186" customWidth="1"/>
    <col min="11269" max="11269" width="52.77734375" style="186" customWidth="1"/>
    <col min="11270" max="11270" width="17.77734375" style="186" customWidth="1"/>
    <col min="11271" max="11271" width="3.77734375" style="186" customWidth="1"/>
    <col min="11272" max="11520" width="9.21875" style="186"/>
    <col min="11521" max="11521" width="4" style="186" customWidth="1"/>
    <col min="11522" max="11522" width="9.21875" style="186"/>
    <col min="11523" max="11523" width="1.44140625" style="186" bestFit="1" customWidth="1"/>
    <col min="11524" max="11524" width="13.44140625" style="186" customWidth="1"/>
    <col min="11525" max="11525" width="52.77734375" style="186" customWidth="1"/>
    <col min="11526" max="11526" width="17.77734375" style="186" customWidth="1"/>
    <col min="11527" max="11527" width="3.77734375" style="186" customWidth="1"/>
    <col min="11528" max="11776" width="9.21875" style="186"/>
    <col min="11777" max="11777" width="4" style="186" customWidth="1"/>
    <col min="11778" max="11778" width="9.21875" style="186"/>
    <col min="11779" max="11779" width="1.44140625" style="186" bestFit="1" customWidth="1"/>
    <col min="11780" max="11780" width="13.44140625" style="186" customWidth="1"/>
    <col min="11781" max="11781" width="52.77734375" style="186" customWidth="1"/>
    <col min="11782" max="11782" width="17.77734375" style="186" customWidth="1"/>
    <col min="11783" max="11783" width="3.77734375" style="186" customWidth="1"/>
    <col min="11784" max="12032" width="9.21875" style="186"/>
    <col min="12033" max="12033" width="4" style="186" customWidth="1"/>
    <col min="12034" max="12034" width="9.21875" style="186"/>
    <col min="12035" max="12035" width="1.44140625" style="186" bestFit="1" customWidth="1"/>
    <col min="12036" max="12036" width="13.44140625" style="186" customWidth="1"/>
    <col min="12037" max="12037" width="52.77734375" style="186" customWidth="1"/>
    <col min="12038" max="12038" width="17.77734375" style="186" customWidth="1"/>
    <col min="12039" max="12039" width="3.77734375" style="186" customWidth="1"/>
    <col min="12040" max="12288" width="9.21875" style="186"/>
    <col min="12289" max="12289" width="4" style="186" customWidth="1"/>
    <col min="12290" max="12290" width="9.21875" style="186"/>
    <col min="12291" max="12291" width="1.44140625" style="186" bestFit="1" customWidth="1"/>
    <col min="12292" max="12292" width="13.44140625" style="186" customWidth="1"/>
    <col min="12293" max="12293" width="52.77734375" style="186" customWidth="1"/>
    <col min="12294" max="12294" width="17.77734375" style="186" customWidth="1"/>
    <col min="12295" max="12295" width="3.77734375" style="186" customWidth="1"/>
    <col min="12296" max="12544" width="9.21875" style="186"/>
    <col min="12545" max="12545" width="4" style="186" customWidth="1"/>
    <col min="12546" max="12546" width="9.21875" style="186"/>
    <col min="12547" max="12547" width="1.44140625" style="186" bestFit="1" customWidth="1"/>
    <col min="12548" max="12548" width="13.44140625" style="186" customWidth="1"/>
    <col min="12549" max="12549" width="52.77734375" style="186" customWidth="1"/>
    <col min="12550" max="12550" width="17.77734375" style="186" customWidth="1"/>
    <col min="12551" max="12551" width="3.77734375" style="186" customWidth="1"/>
    <col min="12552" max="12800" width="9.21875" style="186"/>
    <col min="12801" max="12801" width="4" style="186" customWidth="1"/>
    <col min="12802" max="12802" width="9.21875" style="186"/>
    <col min="12803" max="12803" width="1.44140625" style="186" bestFit="1" customWidth="1"/>
    <col min="12804" max="12804" width="13.44140625" style="186" customWidth="1"/>
    <col min="12805" max="12805" width="52.77734375" style="186" customWidth="1"/>
    <col min="12806" max="12806" width="17.77734375" style="186" customWidth="1"/>
    <col min="12807" max="12807" width="3.77734375" style="186" customWidth="1"/>
    <col min="12808" max="13056" width="9.21875" style="186"/>
    <col min="13057" max="13057" width="4" style="186" customWidth="1"/>
    <col min="13058" max="13058" width="9.21875" style="186"/>
    <col min="13059" max="13059" width="1.44140625" style="186" bestFit="1" customWidth="1"/>
    <col min="13060" max="13060" width="13.44140625" style="186" customWidth="1"/>
    <col min="13061" max="13061" width="52.77734375" style="186" customWidth="1"/>
    <col min="13062" max="13062" width="17.77734375" style="186" customWidth="1"/>
    <col min="13063" max="13063" width="3.77734375" style="186" customWidth="1"/>
    <col min="13064" max="13312" width="9.21875" style="186"/>
    <col min="13313" max="13313" width="4" style="186" customWidth="1"/>
    <col min="13314" max="13314" width="9.21875" style="186"/>
    <col min="13315" max="13315" width="1.44140625" style="186" bestFit="1" customWidth="1"/>
    <col min="13316" max="13316" width="13.44140625" style="186" customWidth="1"/>
    <col min="13317" max="13317" width="52.77734375" style="186" customWidth="1"/>
    <col min="13318" max="13318" width="17.77734375" style="186" customWidth="1"/>
    <col min="13319" max="13319" width="3.77734375" style="186" customWidth="1"/>
    <col min="13320" max="13568" width="9.21875" style="186"/>
    <col min="13569" max="13569" width="4" style="186" customWidth="1"/>
    <col min="13570" max="13570" width="9.21875" style="186"/>
    <col min="13571" max="13571" width="1.44140625" style="186" bestFit="1" customWidth="1"/>
    <col min="13572" max="13572" width="13.44140625" style="186" customWidth="1"/>
    <col min="13573" max="13573" width="52.77734375" style="186" customWidth="1"/>
    <col min="13574" max="13574" width="17.77734375" style="186" customWidth="1"/>
    <col min="13575" max="13575" width="3.77734375" style="186" customWidth="1"/>
    <col min="13576" max="13824" width="9.21875" style="186"/>
    <col min="13825" max="13825" width="4" style="186" customWidth="1"/>
    <col min="13826" max="13826" width="9.21875" style="186"/>
    <col min="13827" max="13827" width="1.44140625" style="186" bestFit="1" customWidth="1"/>
    <col min="13828" max="13828" width="13.44140625" style="186" customWidth="1"/>
    <col min="13829" max="13829" width="52.77734375" style="186" customWidth="1"/>
    <col min="13830" max="13830" width="17.77734375" style="186" customWidth="1"/>
    <col min="13831" max="13831" width="3.77734375" style="186" customWidth="1"/>
    <col min="13832" max="14080" width="9.21875" style="186"/>
    <col min="14081" max="14081" width="4" style="186" customWidth="1"/>
    <col min="14082" max="14082" width="9.21875" style="186"/>
    <col min="14083" max="14083" width="1.44140625" style="186" bestFit="1" customWidth="1"/>
    <col min="14084" max="14084" width="13.44140625" style="186" customWidth="1"/>
    <col min="14085" max="14085" width="52.77734375" style="186" customWidth="1"/>
    <col min="14086" max="14086" width="17.77734375" style="186" customWidth="1"/>
    <col min="14087" max="14087" width="3.77734375" style="186" customWidth="1"/>
    <col min="14088" max="14336" width="9.21875" style="186"/>
    <col min="14337" max="14337" width="4" style="186" customWidth="1"/>
    <col min="14338" max="14338" width="9.21875" style="186"/>
    <col min="14339" max="14339" width="1.44140625" style="186" bestFit="1" customWidth="1"/>
    <col min="14340" max="14340" width="13.44140625" style="186" customWidth="1"/>
    <col min="14341" max="14341" width="52.77734375" style="186" customWidth="1"/>
    <col min="14342" max="14342" width="17.77734375" style="186" customWidth="1"/>
    <col min="14343" max="14343" width="3.77734375" style="186" customWidth="1"/>
    <col min="14344" max="14592" width="9.21875" style="186"/>
    <col min="14593" max="14593" width="4" style="186" customWidth="1"/>
    <col min="14594" max="14594" width="9.21875" style="186"/>
    <col min="14595" max="14595" width="1.44140625" style="186" bestFit="1" customWidth="1"/>
    <col min="14596" max="14596" width="13.44140625" style="186" customWidth="1"/>
    <col min="14597" max="14597" width="52.77734375" style="186" customWidth="1"/>
    <col min="14598" max="14598" width="17.77734375" style="186" customWidth="1"/>
    <col min="14599" max="14599" width="3.77734375" style="186" customWidth="1"/>
    <col min="14600" max="14848" width="9.21875" style="186"/>
    <col min="14849" max="14849" width="4" style="186" customWidth="1"/>
    <col min="14850" max="14850" width="9.21875" style="186"/>
    <col min="14851" max="14851" width="1.44140625" style="186" bestFit="1" customWidth="1"/>
    <col min="14852" max="14852" width="13.44140625" style="186" customWidth="1"/>
    <col min="14853" max="14853" width="52.77734375" style="186" customWidth="1"/>
    <col min="14854" max="14854" width="17.77734375" style="186" customWidth="1"/>
    <col min="14855" max="14855" width="3.77734375" style="186" customWidth="1"/>
    <col min="14856" max="15104" width="9.21875" style="186"/>
    <col min="15105" max="15105" width="4" style="186" customWidth="1"/>
    <col min="15106" max="15106" width="9.21875" style="186"/>
    <col min="15107" max="15107" width="1.44140625" style="186" bestFit="1" customWidth="1"/>
    <col min="15108" max="15108" width="13.44140625" style="186" customWidth="1"/>
    <col min="15109" max="15109" width="52.77734375" style="186" customWidth="1"/>
    <col min="15110" max="15110" width="17.77734375" style="186" customWidth="1"/>
    <col min="15111" max="15111" width="3.77734375" style="186" customWidth="1"/>
    <col min="15112" max="15360" width="9.21875" style="186"/>
    <col min="15361" max="15361" width="4" style="186" customWidth="1"/>
    <col min="15362" max="15362" width="9.21875" style="186"/>
    <col min="15363" max="15363" width="1.44140625" style="186" bestFit="1" customWidth="1"/>
    <col min="15364" max="15364" width="13.44140625" style="186" customWidth="1"/>
    <col min="15365" max="15365" width="52.77734375" style="186" customWidth="1"/>
    <col min="15366" max="15366" width="17.77734375" style="186" customWidth="1"/>
    <col min="15367" max="15367" width="3.77734375" style="186" customWidth="1"/>
    <col min="15368" max="15616" width="9.21875" style="186"/>
    <col min="15617" max="15617" width="4" style="186" customWidth="1"/>
    <col min="15618" max="15618" width="9.21875" style="186"/>
    <col min="15619" max="15619" width="1.44140625" style="186" bestFit="1" customWidth="1"/>
    <col min="15620" max="15620" width="13.44140625" style="186" customWidth="1"/>
    <col min="15621" max="15621" width="52.77734375" style="186" customWidth="1"/>
    <col min="15622" max="15622" width="17.77734375" style="186" customWidth="1"/>
    <col min="15623" max="15623" width="3.77734375" style="186" customWidth="1"/>
    <col min="15624" max="15872" width="9.21875" style="186"/>
    <col min="15873" max="15873" width="4" style="186" customWidth="1"/>
    <col min="15874" max="15874" width="9.21875" style="186"/>
    <col min="15875" max="15875" width="1.44140625" style="186" bestFit="1" customWidth="1"/>
    <col min="15876" max="15876" width="13.44140625" style="186" customWidth="1"/>
    <col min="15877" max="15877" width="52.77734375" style="186" customWidth="1"/>
    <col min="15878" max="15878" width="17.77734375" style="186" customWidth="1"/>
    <col min="15879" max="15879" width="3.77734375" style="186" customWidth="1"/>
    <col min="15880" max="16128" width="9.21875" style="186"/>
    <col min="16129" max="16129" width="4" style="186" customWidth="1"/>
    <col min="16130" max="16130" width="9.21875" style="186"/>
    <col min="16131" max="16131" width="1.44140625" style="186" bestFit="1" customWidth="1"/>
    <col min="16132" max="16132" width="13.44140625" style="186" customWidth="1"/>
    <col min="16133" max="16133" width="52.77734375" style="186" customWidth="1"/>
    <col min="16134" max="16134" width="17.77734375" style="186" customWidth="1"/>
    <col min="16135" max="16135" width="3.77734375" style="186" customWidth="1"/>
    <col min="16136" max="16384" width="9.21875" style="186"/>
  </cols>
  <sheetData>
    <row r="4" spans="2:6" x14ac:dyDescent="0.35">
      <c r="F4" s="21" t="s">
        <v>578</v>
      </c>
    </row>
    <row r="5" spans="2:6" x14ac:dyDescent="0.35">
      <c r="B5" s="5" t="s">
        <v>0</v>
      </c>
      <c r="C5" s="5" t="s">
        <v>1</v>
      </c>
      <c r="D5" s="16" t="s">
        <v>2</v>
      </c>
    </row>
    <row r="6" spans="2:6" x14ac:dyDescent="0.35">
      <c r="B6" s="5" t="s">
        <v>3</v>
      </c>
      <c r="C6" s="5" t="s">
        <v>1</v>
      </c>
      <c r="D6" s="5" t="s">
        <v>4</v>
      </c>
    </row>
    <row r="7" spans="2:6" ht="15" customHeight="1" x14ac:dyDescent="0.35">
      <c r="B7" s="5" t="s">
        <v>5</v>
      </c>
      <c r="C7" s="5" t="s">
        <v>1</v>
      </c>
      <c r="D7" s="16" t="s">
        <v>6</v>
      </c>
    </row>
    <row r="8" spans="2:6" x14ac:dyDescent="0.35">
      <c r="B8" s="6"/>
      <c r="C8" s="6"/>
      <c r="D8" s="6"/>
    </row>
    <row r="9" spans="2:6" x14ac:dyDescent="0.35">
      <c r="B9" s="6" t="s">
        <v>7</v>
      </c>
      <c r="C9" s="6"/>
      <c r="D9" s="6"/>
    </row>
    <row r="10" spans="2:6" x14ac:dyDescent="0.35">
      <c r="B10" s="17" t="s">
        <v>8</v>
      </c>
      <c r="C10" s="7"/>
      <c r="D10" s="7"/>
      <c r="E10" s="7"/>
      <c r="F10" s="7"/>
    </row>
    <row r="11" spans="2:6" x14ac:dyDescent="0.35">
      <c r="B11" s="18" t="s">
        <v>9</v>
      </c>
      <c r="C11" s="8"/>
      <c r="D11" s="7"/>
      <c r="E11" s="7"/>
      <c r="F11" s="7"/>
    </row>
    <row r="12" spans="2:6" x14ac:dyDescent="0.35">
      <c r="B12" s="18" t="s">
        <v>10</v>
      </c>
      <c r="C12" s="8"/>
      <c r="D12" s="7"/>
      <c r="E12" s="7"/>
      <c r="F12" s="7"/>
    </row>
    <row r="13" spans="2:6" x14ac:dyDescent="0.35">
      <c r="B13" s="19" t="s">
        <v>11</v>
      </c>
      <c r="C13" s="5"/>
      <c r="D13" s="6"/>
    </row>
    <row r="14" spans="2:6" x14ac:dyDescent="0.35">
      <c r="B14" s="5"/>
      <c r="C14" s="5"/>
      <c r="D14" s="6"/>
    </row>
    <row r="15" spans="2:6" x14ac:dyDescent="0.35">
      <c r="B15" s="5" t="s">
        <v>12</v>
      </c>
      <c r="C15" s="5" t="s">
        <v>1</v>
      </c>
      <c r="D15" s="16" t="s">
        <v>13</v>
      </c>
    </row>
    <row r="16" spans="2:6" x14ac:dyDescent="0.35">
      <c r="C16" s="5"/>
      <c r="D16" s="19" t="s">
        <v>14</v>
      </c>
    </row>
    <row r="17" spans="2:6" x14ac:dyDescent="0.35">
      <c r="B17" s="6"/>
      <c r="C17" s="6"/>
      <c r="D17" s="6"/>
    </row>
    <row r="18" spans="2:6" x14ac:dyDescent="0.35">
      <c r="B18" s="6"/>
      <c r="C18" s="6"/>
      <c r="D18" s="6"/>
    </row>
    <row r="19" spans="2:6" x14ac:dyDescent="0.35">
      <c r="B19" s="6" t="s">
        <v>15</v>
      </c>
      <c r="C19" s="6"/>
      <c r="D19" s="6"/>
    </row>
    <row r="20" spans="2:6" ht="38.549999999999997" customHeight="1" x14ac:dyDescent="0.35">
      <c r="B20" s="325" t="s">
        <v>16</v>
      </c>
      <c r="C20" s="325"/>
      <c r="D20" s="325"/>
      <c r="E20" s="325"/>
      <c r="F20" s="325"/>
    </row>
    <row r="21" spans="2:6" x14ac:dyDescent="0.35">
      <c r="B21" s="6"/>
      <c r="C21" s="6"/>
      <c r="D21" s="6"/>
    </row>
    <row r="22" spans="2:6" x14ac:dyDescent="0.35">
      <c r="B22" s="9" t="s">
        <v>17</v>
      </c>
      <c r="C22" s="9"/>
      <c r="D22" s="9"/>
    </row>
    <row r="23" spans="2:6" x14ac:dyDescent="0.35">
      <c r="B23" s="10" t="s">
        <v>18</v>
      </c>
      <c r="C23" s="10"/>
      <c r="D23" s="11">
        <f>RECAP!G20</f>
        <v>1504797000</v>
      </c>
      <c r="F23" s="187"/>
    </row>
    <row r="24" spans="2:6" x14ac:dyDescent="0.35">
      <c r="B24" s="12"/>
      <c r="C24" s="12"/>
      <c r="D24" s="12"/>
      <c r="E24" s="188"/>
    </row>
    <row r="25" spans="2:6" x14ac:dyDescent="0.35">
      <c r="B25" s="6" t="s">
        <v>19</v>
      </c>
      <c r="C25" s="6"/>
      <c r="D25" s="6"/>
    </row>
    <row r="26" spans="2:6" x14ac:dyDescent="0.35">
      <c r="B26" s="114" t="s">
        <v>20</v>
      </c>
      <c r="C26" s="114"/>
      <c r="D26" s="114"/>
    </row>
    <row r="27" spans="2:6" x14ac:dyDescent="0.35">
      <c r="B27" s="114" t="s">
        <v>21</v>
      </c>
      <c r="C27" s="114"/>
      <c r="D27" s="114"/>
    </row>
    <row r="28" spans="2:6" x14ac:dyDescent="0.35">
      <c r="B28" s="114" t="s">
        <v>22</v>
      </c>
      <c r="C28" s="114"/>
      <c r="D28" s="114"/>
    </row>
    <row r="29" spans="2:6" x14ac:dyDescent="0.35">
      <c r="B29" s="114" t="s">
        <v>23</v>
      </c>
      <c r="C29" s="114"/>
      <c r="D29" s="114"/>
    </row>
    <row r="30" spans="2:6" x14ac:dyDescent="0.35">
      <c r="B30" s="6" t="s">
        <v>24</v>
      </c>
      <c r="C30" s="114"/>
      <c r="D30" s="114"/>
    </row>
    <row r="31" spans="2:6" x14ac:dyDescent="0.35">
      <c r="B31" s="6" t="s">
        <v>25</v>
      </c>
      <c r="C31" s="6"/>
      <c r="D31" s="6"/>
    </row>
    <row r="32" spans="2:6" x14ac:dyDescent="0.35">
      <c r="B32" s="186" t="s">
        <v>26</v>
      </c>
      <c r="C32" s="6"/>
      <c r="D32" s="6"/>
    </row>
    <row r="33" spans="2:6" x14ac:dyDescent="0.35">
      <c r="B33" s="6" t="s">
        <v>27</v>
      </c>
      <c r="C33" s="6"/>
      <c r="D33" s="6"/>
    </row>
    <row r="34" spans="2:6" x14ac:dyDescent="0.35">
      <c r="B34" s="114" t="s">
        <v>28</v>
      </c>
      <c r="C34" s="114"/>
      <c r="D34" s="114"/>
    </row>
    <row r="35" spans="2:6" x14ac:dyDescent="0.35">
      <c r="B35" s="114" t="s">
        <v>29</v>
      </c>
      <c r="C35" s="114"/>
      <c r="D35" s="114"/>
    </row>
    <row r="36" spans="2:6" x14ac:dyDescent="0.35">
      <c r="B36" s="114" t="s">
        <v>30</v>
      </c>
      <c r="C36" s="114"/>
      <c r="D36" s="114"/>
    </row>
    <row r="37" spans="2:6" x14ac:dyDescent="0.35">
      <c r="B37" s="114" t="s">
        <v>31</v>
      </c>
      <c r="C37" s="114"/>
      <c r="D37" s="114"/>
    </row>
    <row r="38" spans="2:6" x14ac:dyDescent="0.35">
      <c r="B38" s="114" t="s">
        <v>32</v>
      </c>
      <c r="C38" s="114"/>
      <c r="D38" s="114"/>
    </row>
    <row r="39" spans="2:6" x14ac:dyDescent="0.35">
      <c r="B39" s="114" t="s">
        <v>33</v>
      </c>
      <c r="C39" s="114"/>
      <c r="D39" s="114"/>
    </row>
    <row r="40" spans="2:6" x14ac:dyDescent="0.35">
      <c r="B40" s="6"/>
      <c r="C40" s="6"/>
      <c r="D40" s="6"/>
    </row>
    <row r="41" spans="2:6" ht="30" customHeight="1" x14ac:dyDescent="0.35">
      <c r="B41" s="325" t="s">
        <v>34</v>
      </c>
      <c r="C41" s="325"/>
      <c r="D41" s="325"/>
      <c r="E41" s="325"/>
      <c r="F41" s="325"/>
    </row>
    <row r="42" spans="2:6" x14ac:dyDescent="0.35">
      <c r="B42" s="6"/>
      <c r="C42" s="6"/>
      <c r="D42" s="6"/>
    </row>
    <row r="43" spans="2:6" x14ac:dyDescent="0.35">
      <c r="B43" s="6" t="s">
        <v>35</v>
      </c>
      <c r="C43" s="6"/>
      <c r="D43" s="6"/>
    </row>
    <row r="44" spans="2:6" x14ac:dyDescent="0.35">
      <c r="B44" s="5" t="s">
        <v>36</v>
      </c>
      <c r="C44" s="5"/>
      <c r="D44" s="5"/>
    </row>
    <row r="45" spans="2:6" x14ac:dyDescent="0.35">
      <c r="B45" s="6"/>
      <c r="C45" s="6"/>
      <c r="D45" s="6"/>
    </row>
    <row r="46" spans="2:6" x14ac:dyDescent="0.35">
      <c r="B46" s="6"/>
      <c r="C46" s="6"/>
      <c r="D46" s="6"/>
    </row>
    <row r="47" spans="2:6" x14ac:dyDescent="0.35">
      <c r="B47" s="6"/>
      <c r="C47" s="6"/>
      <c r="D47" s="6"/>
    </row>
    <row r="48" spans="2:6" x14ac:dyDescent="0.35">
      <c r="B48" s="6"/>
      <c r="C48" s="6"/>
      <c r="D48" s="6"/>
    </row>
    <row r="49" spans="2:4" x14ac:dyDescent="0.35">
      <c r="B49" s="3" t="s">
        <v>37</v>
      </c>
      <c r="C49" s="13"/>
      <c r="D49" s="13"/>
    </row>
    <row r="50" spans="2:4" x14ac:dyDescent="0.35">
      <c r="B50" s="4" t="s">
        <v>38</v>
      </c>
      <c r="C50" s="4"/>
      <c r="D50" s="4"/>
    </row>
  </sheetData>
  <mergeCells count="2">
    <mergeCell ref="B20:F20"/>
    <mergeCell ref="B41:F4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0C58-1C67-4B26-A85A-82886F7F1853}">
  <dimension ref="B1:AG47"/>
  <sheetViews>
    <sheetView showGridLines="0" view="pageBreakPreview" topLeftCell="A4" zoomScale="60" zoomScaleNormal="80" workbookViewId="0">
      <selection activeCell="J34" sqref="J34"/>
    </sheetView>
  </sheetViews>
  <sheetFormatPr defaultRowHeight="15" customHeight="1" x14ac:dyDescent="0.35"/>
  <cols>
    <col min="1" max="1" width="3.77734375" style="189" customWidth="1"/>
    <col min="2" max="2" width="4.77734375" style="189" customWidth="1"/>
    <col min="3" max="3" width="44.77734375" style="189" bestFit="1" customWidth="1"/>
    <col min="4" max="4" width="10.44140625" style="190" customWidth="1"/>
    <col min="5" max="5" width="9.77734375" style="189" customWidth="1"/>
    <col min="6" max="6" width="19.77734375" style="191" customWidth="1"/>
    <col min="7" max="7" width="26.44140625" style="191" customWidth="1"/>
    <col min="8" max="9" width="3.77734375" style="189" customWidth="1"/>
    <col min="10" max="10" width="3.44140625" style="189" bestFit="1" customWidth="1"/>
    <col min="11" max="11" width="23.88671875" style="189" bestFit="1" customWidth="1"/>
    <col min="12" max="12" width="13.77734375" style="189" bestFit="1" customWidth="1"/>
    <col min="13" max="13" width="2.88671875" style="189" customWidth="1"/>
    <col min="14" max="14" width="11" style="189" customWidth="1"/>
    <col min="15" max="15" width="18.77734375" style="189" bestFit="1" customWidth="1"/>
    <col min="16" max="18" width="3.77734375" style="189" customWidth="1"/>
    <col min="19" max="19" width="5.21875" style="189" customWidth="1"/>
    <col min="20" max="20" width="19.77734375" style="192" hidden="1" customWidth="1"/>
    <col min="21" max="21" width="18.5546875" style="192" hidden="1" customWidth="1"/>
    <col min="22" max="22" width="18.21875" style="189" hidden="1" customWidth="1"/>
    <col min="23" max="23" width="4" style="189" hidden="1" customWidth="1"/>
    <col min="24" max="24" width="6.77734375" style="189" hidden="1" customWidth="1"/>
    <col min="25" max="25" width="37.77734375" style="189" hidden="1" customWidth="1"/>
    <col min="26" max="26" width="31.21875" style="189" hidden="1" customWidth="1"/>
    <col min="27" max="28" width="31.21875" style="189" customWidth="1"/>
    <col min="29" max="29" width="13.5546875" style="189" customWidth="1"/>
    <col min="30" max="31" width="14.44140625" style="189" bestFit="1" customWidth="1"/>
    <col min="32" max="32" width="15.77734375" style="189" bestFit="1" customWidth="1"/>
    <col min="33" max="33" width="15.21875" style="189" bestFit="1" customWidth="1"/>
    <col min="34" max="273" width="8.77734375" style="189"/>
    <col min="274" max="274" width="3.77734375" style="189" customWidth="1"/>
    <col min="275" max="275" width="7.5546875" style="189" customWidth="1"/>
    <col min="276" max="276" width="44.77734375" style="189" bestFit="1" customWidth="1"/>
    <col min="277" max="277" width="7.77734375" style="189" bestFit="1" customWidth="1"/>
    <col min="278" max="278" width="7.44140625" style="189" bestFit="1" customWidth="1"/>
    <col min="279" max="280" width="22.21875" style="189" customWidth="1"/>
    <col min="281" max="281" width="12.5546875" style="189" bestFit="1" customWidth="1"/>
    <col min="282" max="282" width="13.44140625" style="189" bestFit="1" customWidth="1"/>
    <col min="283" max="529" width="8.77734375" style="189"/>
    <col min="530" max="530" width="3.77734375" style="189" customWidth="1"/>
    <col min="531" max="531" width="7.5546875" style="189" customWidth="1"/>
    <col min="532" max="532" width="44.77734375" style="189" bestFit="1" customWidth="1"/>
    <col min="533" max="533" width="7.77734375" style="189" bestFit="1" customWidth="1"/>
    <col min="534" max="534" width="7.44140625" style="189" bestFit="1" customWidth="1"/>
    <col min="535" max="536" width="22.21875" style="189" customWidth="1"/>
    <col min="537" max="537" width="12.5546875" style="189" bestFit="1" customWidth="1"/>
    <col min="538" max="538" width="13.44140625" style="189" bestFit="1" customWidth="1"/>
    <col min="539" max="785" width="8.77734375" style="189"/>
    <col min="786" max="786" width="3.77734375" style="189" customWidth="1"/>
    <col min="787" max="787" width="7.5546875" style="189" customWidth="1"/>
    <col min="788" max="788" width="44.77734375" style="189" bestFit="1" customWidth="1"/>
    <col min="789" max="789" width="7.77734375" style="189" bestFit="1" customWidth="1"/>
    <col min="790" max="790" width="7.44140625" style="189" bestFit="1" customWidth="1"/>
    <col min="791" max="792" width="22.21875" style="189" customWidth="1"/>
    <col min="793" max="793" width="12.5546875" style="189" bestFit="1" customWidth="1"/>
    <col min="794" max="794" width="13.44140625" style="189" bestFit="1" customWidth="1"/>
    <col min="795" max="1041" width="8.77734375" style="189"/>
    <col min="1042" max="1042" width="3.77734375" style="189" customWidth="1"/>
    <col min="1043" max="1043" width="7.5546875" style="189" customWidth="1"/>
    <col min="1044" max="1044" width="44.77734375" style="189" bestFit="1" customWidth="1"/>
    <col min="1045" max="1045" width="7.77734375" style="189" bestFit="1" customWidth="1"/>
    <col min="1046" max="1046" width="7.44140625" style="189" bestFit="1" customWidth="1"/>
    <col min="1047" max="1048" width="22.21875" style="189" customWidth="1"/>
    <col min="1049" max="1049" width="12.5546875" style="189" bestFit="1" customWidth="1"/>
    <col min="1050" max="1050" width="13.44140625" style="189" bestFit="1" customWidth="1"/>
    <col min="1051" max="1297" width="8.77734375" style="189"/>
    <col min="1298" max="1298" width="3.77734375" style="189" customWidth="1"/>
    <col min="1299" max="1299" width="7.5546875" style="189" customWidth="1"/>
    <col min="1300" max="1300" width="44.77734375" style="189" bestFit="1" customWidth="1"/>
    <col min="1301" max="1301" width="7.77734375" style="189" bestFit="1" customWidth="1"/>
    <col min="1302" max="1302" width="7.44140625" style="189" bestFit="1" customWidth="1"/>
    <col min="1303" max="1304" width="22.21875" style="189" customWidth="1"/>
    <col min="1305" max="1305" width="12.5546875" style="189" bestFit="1" customWidth="1"/>
    <col min="1306" max="1306" width="13.44140625" style="189" bestFit="1" customWidth="1"/>
    <col min="1307" max="1553" width="8.77734375" style="189"/>
    <col min="1554" max="1554" width="3.77734375" style="189" customWidth="1"/>
    <col min="1555" max="1555" width="7.5546875" style="189" customWidth="1"/>
    <col min="1556" max="1556" width="44.77734375" style="189" bestFit="1" customWidth="1"/>
    <col min="1557" max="1557" width="7.77734375" style="189" bestFit="1" customWidth="1"/>
    <col min="1558" max="1558" width="7.44140625" style="189" bestFit="1" customWidth="1"/>
    <col min="1559" max="1560" width="22.21875" style="189" customWidth="1"/>
    <col min="1561" max="1561" width="12.5546875" style="189" bestFit="1" customWidth="1"/>
    <col min="1562" max="1562" width="13.44140625" style="189" bestFit="1" customWidth="1"/>
    <col min="1563" max="1809" width="8.77734375" style="189"/>
    <col min="1810" max="1810" width="3.77734375" style="189" customWidth="1"/>
    <col min="1811" max="1811" width="7.5546875" style="189" customWidth="1"/>
    <col min="1812" max="1812" width="44.77734375" style="189" bestFit="1" customWidth="1"/>
    <col min="1813" max="1813" width="7.77734375" style="189" bestFit="1" customWidth="1"/>
    <col min="1814" max="1814" width="7.44140625" style="189" bestFit="1" customWidth="1"/>
    <col min="1815" max="1816" width="22.21875" style="189" customWidth="1"/>
    <col min="1817" max="1817" width="12.5546875" style="189" bestFit="1" customWidth="1"/>
    <col min="1818" max="1818" width="13.44140625" style="189" bestFit="1" customWidth="1"/>
    <col min="1819" max="2065" width="8.77734375" style="189"/>
    <col min="2066" max="2066" width="3.77734375" style="189" customWidth="1"/>
    <col min="2067" max="2067" width="7.5546875" style="189" customWidth="1"/>
    <col min="2068" max="2068" width="44.77734375" style="189" bestFit="1" customWidth="1"/>
    <col min="2069" max="2069" width="7.77734375" style="189" bestFit="1" customWidth="1"/>
    <col min="2070" max="2070" width="7.44140625" style="189" bestFit="1" customWidth="1"/>
    <col min="2071" max="2072" width="22.21875" style="189" customWidth="1"/>
    <col min="2073" max="2073" width="12.5546875" style="189" bestFit="1" customWidth="1"/>
    <col min="2074" max="2074" width="13.44140625" style="189" bestFit="1" customWidth="1"/>
    <col min="2075" max="2321" width="8.77734375" style="189"/>
    <col min="2322" max="2322" width="3.77734375" style="189" customWidth="1"/>
    <col min="2323" max="2323" width="7.5546875" style="189" customWidth="1"/>
    <col min="2324" max="2324" width="44.77734375" style="189" bestFit="1" customWidth="1"/>
    <col min="2325" max="2325" width="7.77734375" style="189" bestFit="1" customWidth="1"/>
    <col min="2326" max="2326" width="7.44140625" style="189" bestFit="1" customWidth="1"/>
    <col min="2327" max="2328" width="22.21875" style="189" customWidth="1"/>
    <col min="2329" max="2329" width="12.5546875" style="189" bestFit="1" customWidth="1"/>
    <col min="2330" max="2330" width="13.44140625" style="189" bestFit="1" customWidth="1"/>
    <col min="2331" max="2577" width="8.77734375" style="189"/>
    <col min="2578" max="2578" width="3.77734375" style="189" customWidth="1"/>
    <col min="2579" max="2579" width="7.5546875" style="189" customWidth="1"/>
    <col min="2580" max="2580" width="44.77734375" style="189" bestFit="1" customWidth="1"/>
    <col min="2581" max="2581" width="7.77734375" style="189" bestFit="1" customWidth="1"/>
    <col min="2582" max="2582" width="7.44140625" style="189" bestFit="1" customWidth="1"/>
    <col min="2583" max="2584" width="22.21875" style="189" customWidth="1"/>
    <col min="2585" max="2585" width="12.5546875" style="189" bestFit="1" customWidth="1"/>
    <col min="2586" max="2586" width="13.44140625" style="189" bestFit="1" customWidth="1"/>
    <col min="2587" max="2833" width="8.77734375" style="189"/>
    <col min="2834" max="2834" width="3.77734375" style="189" customWidth="1"/>
    <col min="2835" max="2835" width="7.5546875" style="189" customWidth="1"/>
    <col min="2836" max="2836" width="44.77734375" style="189" bestFit="1" customWidth="1"/>
    <col min="2837" max="2837" width="7.77734375" style="189" bestFit="1" customWidth="1"/>
    <col min="2838" max="2838" width="7.44140625" style="189" bestFit="1" customWidth="1"/>
    <col min="2839" max="2840" width="22.21875" style="189" customWidth="1"/>
    <col min="2841" max="2841" width="12.5546875" style="189" bestFit="1" customWidth="1"/>
    <col min="2842" max="2842" width="13.44140625" style="189" bestFit="1" customWidth="1"/>
    <col min="2843" max="3089" width="8.77734375" style="189"/>
    <col min="3090" max="3090" width="3.77734375" style="189" customWidth="1"/>
    <col min="3091" max="3091" width="7.5546875" style="189" customWidth="1"/>
    <col min="3092" max="3092" width="44.77734375" style="189" bestFit="1" customWidth="1"/>
    <col min="3093" max="3093" width="7.77734375" style="189" bestFit="1" customWidth="1"/>
    <col min="3094" max="3094" width="7.44140625" style="189" bestFit="1" customWidth="1"/>
    <col min="3095" max="3096" width="22.21875" style="189" customWidth="1"/>
    <col min="3097" max="3097" width="12.5546875" style="189" bestFit="1" customWidth="1"/>
    <col min="3098" max="3098" width="13.44140625" style="189" bestFit="1" customWidth="1"/>
    <col min="3099" max="3345" width="8.77734375" style="189"/>
    <col min="3346" max="3346" width="3.77734375" style="189" customWidth="1"/>
    <col min="3347" max="3347" width="7.5546875" style="189" customWidth="1"/>
    <col min="3348" max="3348" width="44.77734375" style="189" bestFit="1" customWidth="1"/>
    <col min="3349" max="3349" width="7.77734375" style="189" bestFit="1" customWidth="1"/>
    <col min="3350" max="3350" width="7.44140625" style="189" bestFit="1" customWidth="1"/>
    <col min="3351" max="3352" width="22.21875" style="189" customWidth="1"/>
    <col min="3353" max="3353" width="12.5546875" style="189" bestFit="1" customWidth="1"/>
    <col min="3354" max="3354" width="13.44140625" style="189" bestFit="1" customWidth="1"/>
    <col min="3355" max="3601" width="8.77734375" style="189"/>
    <col min="3602" max="3602" width="3.77734375" style="189" customWidth="1"/>
    <col min="3603" max="3603" width="7.5546875" style="189" customWidth="1"/>
    <col min="3604" max="3604" width="44.77734375" style="189" bestFit="1" customWidth="1"/>
    <col min="3605" max="3605" width="7.77734375" style="189" bestFit="1" customWidth="1"/>
    <col min="3606" max="3606" width="7.44140625" style="189" bestFit="1" customWidth="1"/>
    <col min="3607" max="3608" width="22.21875" style="189" customWidth="1"/>
    <col min="3609" max="3609" width="12.5546875" style="189" bestFit="1" customWidth="1"/>
    <col min="3610" max="3610" width="13.44140625" style="189" bestFit="1" customWidth="1"/>
    <col min="3611" max="3857" width="8.77734375" style="189"/>
    <col min="3858" max="3858" width="3.77734375" style="189" customWidth="1"/>
    <col min="3859" max="3859" width="7.5546875" style="189" customWidth="1"/>
    <col min="3860" max="3860" width="44.77734375" style="189" bestFit="1" customWidth="1"/>
    <col min="3861" max="3861" width="7.77734375" style="189" bestFit="1" customWidth="1"/>
    <col min="3862" max="3862" width="7.44140625" style="189" bestFit="1" customWidth="1"/>
    <col min="3863" max="3864" width="22.21875" style="189" customWidth="1"/>
    <col min="3865" max="3865" width="12.5546875" style="189" bestFit="1" customWidth="1"/>
    <col min="3866" max="3866" width="13.44140625" style="189" bestFit="1" customWidth="1"/>
    <col min="3867" max="4113" width="8.77734375" style="189"/>
    <col min="4114" max="4114" width="3.77734375" style="189" customWidth="1"/>
    <col min="4115" max="4115" width="7.5546875" style="189" customWidth="1"/>
    <col min="4116" max="4116" width="44.77734375" style="189" bestFit="1" customWidth="1"/>
    <col min="4117" max="4117" width="7.77734375" style="189" bestFit="1" customWidth="1"/>
    <col min="4118" max="4118" width="7.44140625" style="189" bestFit="1" customWidth="1"/>
    <col min="4119" max="4120" width="22.21875" style="189" customWidth="1"/>
    <col min="4121" max="4121" width="12.5546875" style="189" bestFit="1" customWidth="1"/>
    <col min="4122" max="4122" width="13.44140625" style="189" bestFit="1" customWidth="1"/>
    <col min="4123" max="4369" width="8.77734375" style="189"/>
    <col min="4370" max="4370" width="3.77734375" style="189" customWidth="1"/>
    <col min="4371" max="4371" width="7.5546875" style="189" customWidth="1"/>
    <col min="4372" max="4372" width="44.77734375" style="189" bestFit="1" customWidth="1"/>
    <col min="4373" max="4373" width="7.77734375" style="189" bestFit="1" customWidth="1"/>
    <col min="4374" max="4374" width="7.44140625" style="189" bestFit="1" customWidth="1"/>
    <col min="4375" max="4376" width="22.21875" style="189" customWidth="1"/>
    <col min="4377" max="4377" width="12.5546875" style="189" bestFit="1" customWidth="1"/>
    <col min="4378" max="4378" width="13.44140625" style="189" bestFit="1" customWidth="1"/>
    <col min="4379" max="4625" width="8.77734375" style="189"/>
    <col min="4626" max="4626" width="3.77734375" style="189" customWidth="1"/>
    <col min="4627" max="4627" width="7.5546875" style="189" customWidth="1"/>
    <col min="4628" max="4628" width="44.77734375" style="189" bestFit="1" customWidth="1"/>
    <col min="4629" max="4629" width="7.77734375" style="189" bestFit="1" customWidth="1"/>
    <col min="4630" max="4630" width="7.44140625" style="189" bestFit="1" customWidth="1"/>
    <col min="4631" max="4632" width="22.21875" style="189" customWidth="1"/>
    <col min="4633" max="4633" width="12.5546875" style="189" bestFit="1" customWidth="1"/>
    <col min="4634" max="4634" width="13.44140625" style="189" bestFit="1" customWidth="1"/>
    <col min="4635" max="4881" width="8.77734375" style="189"/>
    <col min="4882" max="4882" width="3.77734375" style="189" customWidth="1"/>
    <col min="4883" max="4883" width="7.5546875" style="189" customWidth="1"/>
    <col min="4884" max="4884" width="44.77734375" style="189" bestFit="1" customWidth="1"/>
    <col min="4885" max="4885" width="7.77734375" style="189" bestFit="1" customWidth="1"/>
    <col min="4886" max="4886" width="7.44140625" style="189" bestFit="1" customWidth="1"/>
    <col min="4887" max="4888" width="22.21875" style="189" customWidth="1"/>
    <col min="4889" max="4889" width="12.5546875" style="189" bestFit="1" customWidth="1"/>
    <col min="4890" max="4890" width="13.44140625" style="189" bestFit="1" customWidth="1"/>
    <col min="4891" max="5137" width="8.77734375" style="189"/>
    <col min="5138" max="5138" width="3.77734375" style="189" customWidth="1"/>
    <col min="5139" max="5139" width="7.5546875" style="189" customWidth="1"/>
    <col min="5140" max="5140" width="44.77734375" style="189" bestFit="1" customWidth="1"/>
    <col min="5141" max="5141" width="7.77734375" style="189" bestFit="1" customWidth="1"/>
    <col min="5142" max="5142" width="7.44140625" style="189" bestFit="1" customWidth="1"/>
    <col min="5143" max="5144" width="22.21875" style="189" customWidth="1"/>
    <col min="5145" max="5145" width="12.5546875" style="189" bestFit="1" customWidth="1"/>
    <col min="5146" max="5146" width="13.44140625" style="189" bestFit="1" customWidth="1"/>
    <col min="5147" max="5393" width="8.77734375" style="189"/>
    <col min="5394" max="5394" width="3.77734375" style="189" customWidth="1"/>
    <col min="5395" max="5395" width="7.5546875" style="189" customWidth="1"/>
    <col min="5396" max="5396" width="44.77734375" style="189" bestFit="1" customWidth="1"/>
    <col min="5397" max="5397" width="7.77734375" style="189" bestFit="1" customWidth="1"/>
    <col min="5398" max="5398" width="7.44140625" style="189" bestFit="1" customWidth="1"/>
    <col min="5399" max="5400" width="22.21875" style="189" customWidth="1"/>
    <col min="5401" max="5401" width="12.5546875" style="189" bestFit="1" customWidth="1"/>
    <col min="5402" max="5402" width="13.44140625" style="189" bestFit="1" customWidth="1"/>
    <col min="5403" max="5649" width="8.77734375" style="189"/>
    <col min="5650" max="5650" width="3.77734375" style="189" customWidth="1"/>
    <col min="5651" max="5651" width="7.5546875" style="189" customWidth="1"/>
    <col min="5652" max="5652" width="44.77734375" style="189" bestFit="1" customWidth="1"/>
    <col min="5653" max="5653" width="7.77734375" style="189" bestFit="1" customWidth="1"/>
    <col min="5654" max="5654" width="7.44140625" style="189" bestFit="1" customWidth="1"/>
    <col min="5655" max="5656" width="22.21875" style="189" customWidth="1"/>
    <col min="5657" max="5657" width="12.5546875" style="189" bestFit="1" customWidth="1"/>
    <col min="5658" max="5658" width="13.44140625" style="189" bestFit="1" customWidth="1"/>
    <col min="5659" max="5905" width="8.77734375" style="189"/>
    <col min="5906" max="5906" width="3.77734375" style="189" customWidth="1"/>
    <col min="5907" max="5907" width="7.5546875" style="189" customWidth="1"/>
    <col min="5908" max="5908" width="44.77734375" style="189" bestFit="1" customWidth="1"/>
    <col min="5909" max="5909" width="7.77734375" style="189" bestFit="1" customWidth="1"/>
    <col min="5910" max="5910" width="7.44140625" style="189" bestFit="1" customWidth="1"/>
    <col min="5911" max="5912" width="22.21875" style="189" customWidth="1"/>
    <col min="5913" max="5913" width="12.5546875" style="189" bestFit="1" customWidth="1"/>
    <col min="5914" max="5914" width="13.44140625" style="189" bestFit="1" customWidth="1"/>
    <col min="5915" max="6161" width="8.77734375" style="189"/>
    <col min="6162" max="6162" width="3.77734375" style="189" customWidth="1"/>
    <col min="6163" max="6163" width="7.5546875" style="189" customWidth="1"/>
    <col min="6164" max="6164" width="44.77734375" style="189" bestFit="1" customWidth="1"/>
    <col min="6165" max="6165" width="7.77734375" style="189" bestFit="1" customWidth="1"/>
    <col min="6166" max="6166" width="7.44140625" style="189" bestFit="1" customWidth="1"/>
    <col min="6167" max="6168" width="22.21875" style="189" customWidth="1"/>
    <col min="6169" max="6169" width="12.5546875" style="189" bestFit="1" customWidth="1"/>
    <col min="6170" max="6170" width="13.44140625" style="189" bestFit="1" customWidth="1"/>
    <col min="6171" max="6417" width="8.77734375" style="189"/>
    <col min="6418" max="6418" width="3.77734375" style="189" customWidth="1"/>
    <col min="6419" max="6419" width="7.5546875" style="189" customWidth="1"/>
    <col min="6420" max="6420" width="44.77734375" style="189" bestFit="1" customWidth="1"/>
    <col min="6421" max="6421" width="7.77734375" style="189" bestFit="1" customWidth="1"/>
    <col min="6422" max="6422" width="7.44140625" style="189" bestFit="1" customWidth="1"/>
    <col min="6423" max="6424" width="22.21875" style="189" customWidth="1"/>
    <col min="6425" max="6425" width="12.5546875" style="189" bestFit="1" customWidth="1"/>
    <col min="6426" max="6426" width="13.44140625" style="189" bestFit="1" customWidth="1"/>
    <col min="6427" max="6673" width="8.77734375" style="189"/>
    <col min="6674" max="6674" width="3.77734375" style="189" customWidth="1"/>
    <col min="6675" max="6675" width="7.5546875" style="189" customWidth="1"/>
    <col min="6676" max="6676" width="44.77734375" style="189" bestFit="1" customWidth="1"/>
    <col min="6677" max="6677" width="7.77734375" style="189" bestFit="1" customWidth="1"/>
    <col min="6678" max="6678" width="7.44140625" style="189" bestFit="1" customWidth="1"/>
    <col min="6679" max="6680" width="22.21875" style="189" customWidth="1"/>
    <col min="6681" max="6681" width="12.5546875" style="189" bestFit="1" customWidth="1"/>
    <col min="6682" max="6682" width="13.44140625" style="189" bestFit="1" customWidth="1"/>
    <col min="6683" max="6929" width="8.77734375" style="189"/>
    <col min="6930" max="6930" width="3.77734375" style="189" customWidth="1"/>
    <col min="6931" max="6931" width="7.5546875" style="189" customWidth="1"/>
    <col min="6932" max="6932" width="44.77734375" style="189" bestFit="1" customWidth="1"/>
    <col min="6933" max="6933" width="7.77734375" style="189" bestFit="1" customWidth="1"/>
    <col min="6934" max="6934" width="7.44140625" style="189" bestFit="1" customWidth="1"/>
    <col min="6935" max="6936" width="22.21875" style="189" customWidth="1"/>
    <col min="6937" max="6937" width="12.5546875" style="189" bestFit="1" customWidth="1"/>
    <col min="6938" max="6938" width="13.44140625" style="189" bestFit="1" customWidth="1"/>
    <col min="6939" max="7185" width="8.77734375" style="189"/>
    <col min="7186" max="7186" width="3.77734375" style="189" customWidth="1"/>
    <col min="7187" max="7187" width="7.5546875" style="189" customWidth="1"/>
    <col min="7188" max="7188" width="44.77734375" style="189" bestFit="1" customWidth="1"/>
    <col min="7189" max="7189" width="7.77734375" style="189" bestFit="1" customWidth="1"/>
    <col min="7190" max="7190" width="7.44140625" style="189" bestFit="1" customWidth="1"/>
    <col min="7191" max="7192" width="22.21875" style="189" customWidth="1"/>
    <col min="7193" max="7193" width="12.5546875" style="189" bestFit="1" customWidth="1"/>
    <col min="7194" max="7194" width="13.44140625" style="189" bestFit="1" customWidth="1"/>
    <col min="7195" max="7441" width="8.77734375" style="189"/>
    <col min="7442" max="7442" width="3.77734375" style="189" customWidth="1"/>
    <col min="7443" max="7443" width="7.5546875" style="189" customWidth="1"/>
    <col min="7444" max="7444" width="44.77734375" style="189" bestFit="1" customWidth="1"/>
    <col min="7445" max="7445" width="7.77734375" style="189" bestFit="1" customWidth="1"/>
    <col min="7446" max="7446" width="7.44140625" style="189" bestFit="1" customWidth="1"/>
    <col min="7447" max="7448" width="22.21875" style="189" customWidth="1"/>
    <col min="7449" max="7449" width="12.5546875" style="189" bestFit="1" customWidth="1"/>
    <col min="7450" max="7450" width="13.44140625" style="189" bestFit="1" customWidth="1"/>
    <col min="7451" max="7697" width="8.77734375" style="189"/>
    <col min="7698" max="7698" width="3.77734375" style="189" customWidth="1"/>
    <col min="7699" max="7699" width="7.5546875" style="189" customWidth="1"/>
    <col min="7700" max="7700" width="44.77734375" style="189" bestFit="1" customWidth="1"/>
    <col min="7701" max="7701" width="7.77734375" style="189" bestFit="1" customWidth="1"/>
    <col min="7702" max="7702" width="7.44140625" style="189" bestFit="1" customWidth="1"/>
    <col min="7703" max="7704" width="22.21875" style="189" customWidth="1"/>
    <col min="7705" max="7705" width="12.5546875" style="189" bestFit="1" customWidth="1"/>
    <col min="7706" max="7706" width="13.44140625" style="189" bestFit="1" customWidth="1"/>
    <col min="7707" max="7953" width="8.77734375" style="189"/>
    <col min="7954" max="7954" width="3.77734375" style="189" customWidth="1"/>
    <col min="7955" max="7955" width="7.5546875" style="189" customWidth="1"/>
    <col min="7956" max="7956" width="44.77734375" style="189" bestFit="1" customWidth="1"/>
    <col min="7957" max="7957" width="7.77734375" style="189" bestFit="1" customWidth="1"/>
    <col min="7958" max="7958" width="7.44140625" style="189" bestFit="1" customWidth="1"/>
    <col min="7959" max="7960" width="22.21875" style="189" customWidth="1"/>
    <col min="7961" max="7961" width="12.5546875" style="189" bestFit="1" customWidth="1"/>
    <col min="7962" max="7962" width="13.44140625" style="189" bestFit="1" customWidth="1"/>
    <col min="7963" max="8209" width="8.77734375" style="189"/>
    <col min="8210" max="8210" width="3.77734375" style="189" customWidth="1"/>
    <col min="8211" max="8211" width="7.5546875" style="189" customWidth="1"/>
    <col min="8212" max="8212" width="44.77734375" style="189" bestFit="1" customWidth="1"/>
    <col min="8213" max="8213" width="7.77734375" style="189" bestFit="1" customWidth="1"/>
    <col min="8214" max="8214" width="7.44140625" style="189" bestFit="1" customWidth="1"/>
    <col min="8215" max="8216" width="22.21875" style="189" customWidth="1"/>
    <col min="8217" max="8217" width="12.5546875" style="189" bestFit="1" customWidth="1"/>
    <col min="8218" max="8218" width="13.44140625" style="189" bestFit="1" customWidth="1"/>
    <col min="8219" max="8465" width="8.77734375" style="189"/>
    <col min="8466" max="8466" width="3.77734375" style="189" customWidth="1"/>
    <col min="8467" max="8467" width="7.5546875" style="189" customWidth="1"/>
    <col min="8468" max="8468" width="44.77734375" style="189" bestFit="1" customWidth="1"/>
    <col min="8469" max="8469" width="7.77734375" style="189" bestFit="1" customWidth="1"/>
    <col min="8470" max="8470" width="7.44140625" style="189" bestFit="1" customWidth="1"/>
    <col min="8471" max="8472" width="22.21875" style="189" customWidth="1"/>
    <col min="8473" max="8473" width="12.5546875" style="189" bestFit="1" customWidth="1"/>
    <col min="8474" max="8474" width="13.44140625" style="189" bestFit="1" customWidth="1"/>
    <col min="8475" max="8721" width="8.77734375" style="189"/>
    <col min="8722" max="8722" width="3.77734375" style="189" customWidth="1"/>
    <col min="8723" max="8723" width="7.5546875" style="189" customWidth="1"/>
    <col min="8724" max="8724" width="44.77734375" style="189" bestFit="1" customWidth="1"/>
    <col min="8725" max="8725" width="7.77734375" style="189" bestFit="1" customWidth="1"/>
    <col min="8726" max="8726" width="7.44140625" style="189" bestFit="1" customWidth="1"/>
    <col min="8727" max="8728" width="22.21875" style="189" customWidth="1"/>
    <col min="8729" max="8729" width="12.5546875" style="189" bestFit="1" customWidth="1"/>
    <col min="8730" max="8730" width="13.44140625" style="189" bestFit="1" customWidth="1"/>
    <col min="8731" max="8977" width="8.77734375" style="189"/>
    <col min="8978" max="8978" width="3.77734375" style="189" customWidth="1"/>
    <col min="8979" max="8979" width="7.5546875" style="189" customWidth="1"/>
    <col min="8980" max="8980" width="44.77734375" style="189" bestFit="1" customWidth="1"/>
    <col min="8981" max="8981" width="7.77734375" style="189" bestFit="1" customWidth="1"/>
    <col min="8982" max="8982" width="7.44140625" style="189" bestFit="1" customWidth="1"/>
    <col min="8983" max="8984" width="22.21875" style="189" customWidth="1"/>
    <col min="8985" max="8985" width="12.5546875" style="189" bestFit="1" customWidth="1"/>
    <col min="8986" max="8986" width="13.44140625" style="189" bestFit="1" customWidth="1"/>
    <col min="8987" max="9233" width="8.77734375" style="189"/>
    <col min="9234" max="9234" width="3.77734375" style="189" customWidth="1"/>
    <col min="9235" max="9235" width="7.5546875" style="189" customWidth="1"/>
    <col min="9236" max="9236" width="44.77734375" style="189" bestFit="1" customWidth="1"/>
    <col min="9237" max="9237" width="7.77734375" style="189" bestFit="1" customWidth="1"/>
    <col min="9238" max="9238" width="7.44140625" style="189" bestFit="1" customWidth="1"/>
    <col min="9239" max="9240" width="22.21875" style="189" customWidth="1"/>
    <col min="9241" max="9241" width="12.5546875" style="189" bestFit="1" customWidth="1"/>
    <col min="9242" max="9242" width="13.44140625" style="189" bestFit="1" customWidth="1"/>
    <col min="9243" max="9489" width="8.77734375" style="189"/>
    <col min="9490" max="9490" width="3.77734375" style="189" customWidth="1"/>
    <col min="9491" max="9491" width="7.5546875" style="189" customWidth="1"/>
    <col min="9492" max="9492" width="44.77734375" style="189" bestFit="1" customWidth="1"/>
    <col min="9493" max="9493" width="7.77734375" style="189" bestFit="1" customWidth="1"/>
    <col min="9494" max="9494" width="7.44140625" style="189" bestFit="1" customWidth="1"/>
    <col min="9495" max="9496" width="22.21875" style="189" customWidth="1"/>
    <col min="9497" max="9497" width="12.5546875" style="189" bestFit="1" customWidth="1"/>
    <col min="9498" max="9498" width="13.44140625" style="189" bestFit="1" customWidth="1"/>
    <col min="9499" max="9745" width="8.77734375" style="189"/>
    <col min="9746" max="9746" width="3.77734375" style="189" customWidth="1"/>
    <col min="9747" max="9747" width="7.5546875" style="189" customWidth="1"/>
    <col min="9748" max="9748" width="44.77734375" style="189" bestFit="1" customWidth="1"/>
    <col min="9749" max="9749" width="7.77734375" style="189" bestFit="1" customWidth="1"/>
    <col min="9750" max="9750" width="7.44140625" style="189" bestFit="1" customWidth="1"/>
    <col min="9751" max="9752" width="22.21875" style="189" customWidth="1"/>
    <col min="9753" max="9753" width="12.5546875" style="189" bestFit="1" customWidth="1"/>
    <col min="9754" max="9754" width="13.44140625" style="189" bestFit="1" customWidth="1"/>
    <col min="9755" max="10001" width="8.77734375" style="189"/>
    <col min="10002" max="10002" width="3.77734375" style="189" customWidth="1"/>
    <col min="10003" max="10003" width="7.5546875" style="189" customWidth="1"/>
    <col min="10004" max="10004" width="44.77734375" style="189" bestFit="1" customWidth="1"/>
    <col min="10005" max="10005" width="7.77734375" style="189" bestFit="1" customWidth="1"/>
    <col min="10006" max="10006" width="7.44140625" style="189" bestFit="1" customWidth="1"/>
    <col min="10007" max="10008" width="22.21875" style="189" customWidth="1"/>
    <col min="10009" max="10009" width="12.5546875" style="189" bestFit="1" customWidth="1"/>
    <col min="10010" max="10010" width="13.44140625" style="189" bestFit="1" customWidth="1"/>
    <col min="10011" max="10257" width="8.77734375" style="189"/>
    <col min="10258" max="10258" width="3.77734375" style="189" customWidth="1"/>
    <col min="10259" max="10259" width="7.5546875" style="189" customWidth="1"/>
    <col min="10260" max="10260" width="44.77734375" style="189" bestFit="1" customWidth="1"/>
    <col min="10261" max="10261" width="7.77734375" style="189" bestFit="1" customWidth="1"/>
    <col min="10262" max="10262" width="7.44140625" style="189" bestFit="1" customWidth="1"/>
    <col min="10263" max="10264" width="22.21875" style="189" customWidth="1"/>
    <col min="10265" max="10265" width="12.5546875" style="189" bestFit="1" customWidth="1"/>
    <col min="10266" max="10266" width="13.44140625" style="189" bestFit="1" customWidth="1"/>
    <col min="10267" max="10513" width="8.77734375" style="189"/>
    <col min="10514" max="10514" width="3.77734375" style="189" customWidth="1"/>
    <col min="10515" max="10515" width="7.5546875" style="189" customWidth="1"/>
    <col min="10516" max="10516" width="44.77734375" style="189" bestFit="1" customWidth="1"/>
    <col min="10517" max="10517" width="7.77734375" style="189" bestFit="1" customWidth="1"/>
    <col min="10518" max="10518" width="7.44140625" style="189" bestFit="1" customWidth="1"/>
    <col min="10519" max="10520" width="22.21875" style="189" customWidth="1"/>
    <col min="10521" max="10521" width="12.5546875" style="189" bestFit="1" customWidth="1"/>
    <col min="10522" max="10522" width="13.44140625" style="189" bestFit="1" customWidth="1"/>
    <col min="10523" max="10769" width="8.77734375" style="189"/>
    <col min="10770" max="10770" width="3.77734375" style="189" customWidth="1"/>
    <col min="10771" max="10771" width="7.5546875" style="189" customWidth="1"/>
    <col min="10772" max="10772" width="44.77734375" style="189" bestFit="1" customWidth="1"/>
    <col min="10773" max="10773" width="7.77734375" style="189" bestFit="1" customWidth="1"/>
    <col min="10774" max="10774" width="7.44140625" style="189" bestFit="1" customWidth="1"/>
    <col min="10775" max="10776" width="22.21875" style="189" customWidth="1"/>
    <col min="10777" max="10777" width="12.5546875" style="189" bestFit="1" customWidth="1"/>
    <col min="10778" max="10778" width="13.44140625" style="189" bestFit="1" customWidth="1"/>
    <col min="10779" max="11025" width="8.77734375" style="189"/>
    <col min="11026" max="11026" width="3.77734375" style="189" customWidth="1"/>
    <col min="11027" max="11027" width="7.5546875" style="189" customWidth="1"/>
    <col min="11028" max="11028" width="44.77734375" style="189" bestFit="1" customWidth="1"/>
    <col min="11029" max="11029" width="7.77734375" style="189" bestFit="1" customWidth="1"/>
    <col min="11030" max="11030" width="7.44140625" style="189" bestFit="1" customWidth="1"/>
    <col min="11031" max="11032" width="22.21875" style="189" customWidth="1"/>
    <col min="11033" max="11033" width="12.5546875" style="189" bestFit="1" customWidth="1"/>
    <col min="11034" max="11034" width="13.44140625" style="189" bestFit="1" customWidth="1"/>
    <col min="11035" max="11281" width="8.77734375" style="189"/>
    <col min="11282" max="11282" width="3.77734375" style="189" customWidth="1"/>
    <col min="11283" max="11283" width="7.5546875" style="189" customWidth="1"/>
    <col min="11284" max="11284" width="44.77734375" style="189" bestFit="1" customWidth="1"/>
    <col min="11285" max="11285" width="7.77734375" style="189" bestFit="1" customWidth="1"/>
    <col min="11286" max="11286" width="7.44140625" style="189" bestFit="1" customWidth="1"/>
    <col min="11287" max="11288" width="22.21875" style="189" customWidth="1"/>
    <col min="11289" max="11289" width="12.5546875" style="189" bestFit="1" customWidth="1"/>
    <col min="11290" max="11290" width="13.44140625" style="189" bestFit="1" customWidth="1"/>
    <col min="11291" max="11537" width="8.77734375" style="189"/>
    <col min="11538" max="11538" width="3.77734375" style="189" customWidth="1"/>
    <col min="11539" max="11539" width="7.5546875" style="189" customWidth="1"/>
    <col min="11540" max="11540" width="44.77734375" style="189" bestFit="1" customWidth="1"/>
    <col min="11541" max="11541" width="7.77734375" style="189" bestFit="1" customWidth="1"/>
    <col min="11542" max="11542" width="7.44140625" style="189" bestFit="1" customWidth="1"/>
    <col min="11543" max="11544" width="22.21875" style="189" customWidth="1"/>
    <col min="11545" max="11545" width="12.5546875" style="189" bestFit="1" customWidth="1"/>
    <col min="11546" max="11546" width="13.44140625" style="189" bestFit="1" customWidth="1"/>
    <col min="11547" max="11793" width="8.77734375" style="189"/>
    <col min="11794" max="11794" width="3.77734375" style="189" customWidth="1"/>
    <col min="11795" max="11795" width="7.5546875" style="189" customWidth="1"/>
    <col min="11796" max="11796" width="44.77734375" style="189" bestFit="1" customWidth="1"/>
    <col min="11797" max="11797" width="7.77734375" style="189" bestFit="1" customWidth="1"/>
    <col min="11798" max="11798" width="7.44140625" style="189" bestFit="1" customWidth="1"/>
    <col min="11799" max="11800" width="22.21875" style="189" customWidth="1"/>
    <col min="11801" max="11801" width="12.5546875" style="189" bestFit="1" customWidth="1"/>
    <col min="11802" max="11802" width="13.44140625" style="189" bestFit="1" customWidth="1"/>
    <col min="11803" max="12049" width="8.77734375" style="189"/>
    <col min="12050" max="12050" width="3.77734375" style="189" customWidth="1"/>
    <col min="12051" max="12051" width="7.5546875" style="189" customWidth="1"/>
    <col min="12052" max="12052" width="44.77734375" style="189" bestFit="1" customWidth="1"/>
    <col min="12053" max="12053" width="7.77734375" style="189" bestFit="1" customWidth="1"/>
    <col min="12054" max="12054" width="7.44140625" style="189" bestFit="1" customWidth="1"/>
    <col min="12055" max="12056" width="22.21875" style="189" customWidth="1"/>
    <col min="12057" max="12057" width="12.5546875" style="189" bestFit="1" customWidth="1"/>
    <col min="12058" max="12058" width="13.44140625" style="189" bestFit="1" customWidth="1"/>
    <col min="12059" max="12305" width="8.77734375" style="189"/>
    <col min="12306" max="12306" width="3.77734375" style="189" customWidth="1"/>
    <col min="12307" max="12307" width="7.5546875" style="189" customWidth="1"/>
    <col min="12308" max="12308" width="44.77734375" style="189" bestFit="1" customWidth="1"/>
    <col min="12309" max="12309" width="7.77734375" style="189" bestFit="1" customWidth="1"/>
    <col min="12310" max="12310" width="7.44140625" style="189" bestFit="1" customWidth="1"/>
    <col min="12311" max="12312" width="22.21875" style="189" customWidth="1"/>
    <col min="12313" max="12313" width="12.5546875" style="189" bestFit="1" customWidth="1"/>
    <col min="12314" max="12314" width="13.44140625" style="189" bestFit="1" customWidth="1"/>
    <col min="12315" max="12561" width="8.77734375" style="189"/>
    <col min="12562" max="12562" width="3.77734375" style="189" customWidth="1"/>
    <col min="12563" max="12563" width="7.5546875" style="189" customWidth="1"/>
    <col min="12564" max="12564" width="44.77734375" style="189" bestFit="1" customWidth="1"/>
    <col min="12565" max="12565" width="7.77734375" style="189" bestFit="1" customWidth="1"/>
    <col min="12566" max="12566" width="7.44140625" style="189" bestFit="1" customWidth="1"/>
    <col min="12567" max="12568" width="22.21875" style="189" customWidth="1"/>
    <col min="12569" max="12569" width="12.5546875" style="189" bestFit="1" customWidth="1"/>
    <col min="12570" max="12570" width="13.44140625" style="189" bestFit="1" customWidth="1"/>
    <col min="12571" max="12817" width="8.77734375" style="189"/>
    <col min="12818" max="12818" width="3.77734375" style="189" customWidth="1"/>
    <col min="12819" max="12819" width="7.5546875" style="189" customWidth="1"/>
    <col min="12820" max="12820" width="44.77734375" style="189" bestFit="1" customWidth="1"/>
    <col min="12821" max="12821" width="7.77734375" style="189" bestFit="1" customWidth="1"/>
    <col min="12822" max="12822" width="7.44140625" style="189" bestFit="1" customWidth="1"/>
    <col min="12823" max="12824" width="22.21875" style="189" customWidth="1"/>
    <col min="12825" max="12825" width="12.5546875" style="189" bestFit="1" customWidth="1"/>
    <col min="12826" max="12826" width="13.44140625" style="189" bestFit="1" customWidth="1"/>
    <col min="12827" max="13073" width="8.77734375" style="189"/>
    <col min="13074" max="13074" width="3.77734375" style="189" customWidth="1"/>
    <col min="13075" max="13075" width="7.5546875" style="189" customWidth="1"/>
    <col min="13076" max="13076" width="44.77734375" style="189" bestFit="1" customWidth="1"/>
    <col min="13077" max="13077" width="7.77734375" style="189" bestFit="1" customWidth="1"/>
    <col min="13078" max="13078" width="7.44140625" style="189" bestFit="1" customWidth="1"/>
    <col min="13079" max="13080" width="22.21875" style="189" customWidth="1"/>
    <col min="13081" max="13081" width="12.5546875" style="189" bestFit="1" customWidth="1"/>
    <col min="13082" max="13082" width="13.44140625" style="189" bestFit="1" customWidth="1"/>
    <col min="13083" max="13329" width="8.77734375" style="189"/>
    <col min="13330" max="13330" width="3.77734375" style="189" customWidth="1"/>
    <col min="13331" max="13331" width="7.5546875" style="189" customWidth="1"/>
    <col min="13332" max="13332" width="44.77734375" style="189" bestFit="1" customWidth="1"/>
    <col min="13333" max="13333" width="7.77734375" style="189" bestFit="1" customWidth="1"/>
    <col min="13334" max="13334" width="7.44140625" style="189" bestFit="1" customWidth="1"/>
    <col min="13335" max="13336" width="22.21875" style="189" customWidth="1"/>
    <col min="13337" max="13337" width="12.5546875" style="189" bestFit="1" customWidth="1"/>
    <col min="13338" max="13338" width="13.44140625" style="189" bestFit="1" customWidth="1"/>
    <col min="13339" max="13585" width="8.77734375" style="189"/>
    <col min="13586" max="13586" width="3.77734375" style="189" customWidth="1"/>
    <col min="13587" max="13587" width="7.5546875" style="189" customWidth="1"/>
    <col min="13588" max="13588" width="44.77734375" style="189" bestFit="1" customWidth="1"/>
    <col min="13589" max="13589" width="7.77734375" style="189" bestFit="1" customWidth="1"/>
    <col min="13590" max="13590" width="7.44140625" style="189" bestFit="1" customWidth="1"/>
    <col min="13591" max="13592" width="22.21875" style="189" customWidth="1"/>
    <col min="13593" max="13593" width="12.5546875" style="189" bestFit="1" customWidth="1"/>
    <col min="13594" max="13594" width="13.44140625" style="189" bestFit="1" customWidth="1"/>
    <col min="13595" max="13841" width="8.77734375" style="189"/>
    <col min="13842" max="13842" width="3.77734375" style="189" customWidth="1"/>
    <col min="13843" max="13843" width="7.5546875" style="189" customWidth="1"/>
    <col min="13844" max="13844" width="44.77734375" style="189" bestFit="1" customWidth="1"/>
    <col min="13845" max="13845" width="7.77734375" style="189" bestFit="1" customWidth="1"/>
    <col min="13846" max="13846" width="7.44140625" style="189" bestFit="1" customWidth="1"/>
    <col min="13847" max="13848" width="22.21875" style="189" customWidth="1"/>
    <col min="13849" max="13849" width="12.5546875" style="189" bestFit="1" customWidth="1"/>
    <col min="13850" max="13850" width="13.44140625" style="189" bestFit="1" customWidth="1"/>
    <col min="13851" max="14097" width="8.77734375" style="189"/>
    <col min="14098" max="14098" width="3.77734375" style="189" customWidth="1"/>
    <col min="14099" max="14099" width="7.5546875" style="189" customWidth="1"/>
    <col min="14100" max="14100" width="44.77734375" style="189" bestFit="1" customWidth="1"/>
    <col min="14101" max="14101" width="7.77734375" style="189" bestFit="1" customWidth="1"/>
    <col min="14102" max="14102" width="7.44140625" style="189" bestFit="1" customWidth="1"/>
    <col min="14103" max="14104" width="22.21875" style="189" customWidth="1"/>
    <col min="14105" max="14105" width="12.5546875" style="189" bestFit="1" customWidth="1"/>
    <col min="14106" max="14106" width="13.44140625" style="189" bestFit="1" customWidth="1"/>
    <col min="14107" max="14353" width="8.77734375" style="189"/>
    <col min="14354" max="14354" width="3.77734375" style="189" customWidth="1"/>
    <col min="14355" max="14355" width="7.5546875" style="189" customWidth="1"/>
    <col min="14356" max="14356" width="44.77734375" style="189" bestFit="1" customWidth="1"/>
    <col min="14357" max="14357" width="7.77734375" style="189" bestFit="1" customWidth="1"/>
    <col min="14358" max="14358" width="7.44140625" style="189" bestFit="1" customWidth="1"/>
    <col min="14359" max="14360" width="22.21875" style="189" customWidth="1"/>
    <col min="14361" max="14361" width="12.5546875" style="189" bestFit="1" customWidth="1"/>
    <col min="14362" max="14362" width="13.44140625" style="189" bestFit="1" customWidth="1"/>
    <col min="14363" max="14609" width="8.77734375" style="189"/>
    <col min="14610" max="14610" width="3.77734375" style="189" customWidth="1"/>
    <col min="14611" max="14611" width="7.5546875" style="189" customWidth="1"/>
    <col min="14612" max="14612" width="44.77734375" style="189" bestFit="1" customWidth="1"/>
    <col min="14613" max="14613" width="7.77734375" style="189" bestFit="1" customWidth="1"/>
    <col min="14614" max="14614" width="7.44140625" style="189" bestFit="1" customWidth="1"/>
    <col min="14615" max="14616" width="22.21875" style="189" customWidth="1"/>
    <col min="14617" max="14617" width="12.5546875" style="189" bestFit="1" customWidth="1"/>
    <col min="14618" max="14618" width="13.44140625" style="189" bestFit="1" customWidth="1"/>
    <col min="14619" max="14865" width="8.77734375" style="189"/>
    <col min="14866" max="14866" width="3.77734375" style="189" customWidth="1"/>
    <col min="14867" max="14867" width="7.5546875" style="189" customWidth="1"/>
    <col min="14868" max="14868" width="44.77734375" style="189" bestFit="1" customWidth="1"/>
    <col min="14869" max="14869" width="7.77734375" style="189" bestFit="1" customWidth="1"/>
    <col min="14870" max="14870" width="7.44140625" style="189" bestFit="1" customWidth="1"/>
    <col min="14871" max="14872" width="22.21875" style="189" customWidth="1"/>
    <col min="14873" max="14873" width="12.5546875" style="189" bestFit="1" customWidth="1"/>
    <col min="14874" max="14874" width="13.44140625" style="189" bestFit="1" customWidth="1"/>
    <col min="14875" max="15121" width="8.77734375" style="189"/>
    <col min="15122" max="15122" width="3.77734375" style="189" customWidth="1"/>
    <col min="15123" max="15123" width="7.5546875" style="189" customWidth="1"/>
    <col min="15124" max="15124" width="44.77734375" style="189" bestFit="1" customWidth="1"/>
    <col min="15125" max="15125" width="7.77734375" style="189" bestFit="1" customWidth="1"/>
    <col min="15126" max="15126" width="7.44140625" style="189" bestFit="1" customWidth="1"/>
    <col min="15127" max="15128" width="22.21875" style="189" customWidth="1"/>
    <col min="15129" max="15129" width="12.5546875" style="189" bestFit="1" customWidth="1"/>
    <col min="15130" max="15130" width="13.44140625" style="189" bestFit="1" customWidth="1"/>
    <col min="15131" max="15377" width="8.77734375" style="189"/>
    <col min="15378" max="15378" width="3.77734375" style="189" customWidth="1"/>
    <col min="15379" max="15379" width="7.5546875" style="189" customWidth="1"/>
    <col min="15380" max="15380" width="44.77734375" style="189" bestFit="1" customWidth="1"/>
    <col min="15381" max="15381" width="7.77734375" style="189" bestFit="1" customWidth="1"/>
    <col min="15382" max="15382" width="7.44140625" style="189" bestFit="1" customWidth="1"/>
    <col min="15383" max="15384" width="22.21875" style="189" customWidth="1"/>
    <col min="15385" max="15385" width="12.5546875" style="189" bestFit="1" customWidth="1"/>
    <col min="15386" max="15386" width="13.44140625" style="189" bestFit="1" customWidth="1"/>
    <col min="15387" max="15633" width="8.77734375" style="189"/>
    <col min="15634" max="15634" width="3.77734375" style="189" customWidth="1"/>
    <col min="15635" max="15635" width="7.5546875" style="189" customWidth="1"/>
    <col min="15636" max="15636" width="44.77734375" style="189" bestFit="1" customWidth="1"/>
    <col min="15637" max="15637" width="7.77734375" style="189" bestFit="1" customWidth="1"/>
    <col min="15638" max="15638" width="7.44140625" style="189" bestFit="1" customWidth="1"/>
    <col min="15639" max="15640" width="22.21875" style="189" customWidth="1"/>
    <col min="15641" max="15641" width="12.5546875" style="189" bestFit="1" customWidth="1"/>
    <col min="15642" max="15642" width="13.44140625" style="189" bestFit="1" customWidth="1"/>
    <col min="15643" max="15889" width="8.77734375" style="189"/>
    <col min="15890" max="15890" width="3.77734375" style="189" customWidth="1"/>
    <col min="15891" max="15891" width="7.5546875" style="189" customWidth="1"/>
    <col min="15892" max="15892" width="44.77734375" style="189" bestFit="1" customWidth="1"/>
    <col min="15893" max="15893" width="7.77734375" style="189" bestFit="1" customWidth="1"/>
    <col min="15894" max="15894" width="7.44140625" style="189" bestFit="1" customWidth="1"/>
    <col min="15895" max="15896" width="22.21875" style="189" customWidth="1"/>
    <col min="15897" max="15897" width="12.5546875" style="189" bestFit="1" customWidth="1"/>
    <col min="15898" max="15898" width="13.44140625" style="189" bestFit="1" customWidth="1"/>
    <col min="15899" max="16145" width="8.77734375" style="189"/>
    <col min="16146" max="16146" width="3.77734375" style="189" customWidth="1"/>
    <col min="16147" max="16147" width="7.5546875" style="189" customWidth="1"/>
    <col min="16148" max="16148" width="44.77734375" style="189" bestFit="1" customWidth="1"/>
    <col min="16149" max="16149" width="7.77734375" style="189" bestFit="1" customWidth="1"/>
    <col min="16150" max="16150" width="7.44140625" style="189" bestFit="1" customWidth="1"/>
    <col min="16151" max="16152" width="22.21875" style="189" customWidth="1"/>
    <col min="16153" max="16153" width="12.5546875" style="189" bestFit="1" customWidth="1"/>
    <col min="16154" max="16154" width="13.44140625" style="189" bestFit="1" customWidth="1"/>
    <col min="16155" max="16384" width="8.77734375" style="189"/>
  </cols>
  <sheetData>
    <row r="1" spans="2:33" ht="14.4" x14ac:dyDescent="0.35"/>
    <row r="2" spans="2:33" ht="14.4" x14ac:dyDescent="0.35"/>
    <row r="3" spans="2:33" ht="14.4" x14ac:dyDescent="0.35"/>
    <row r="4" spans="2:33" ht="14.4" x14ac:dyDescent="0.35"/>
    <row r="5" spans="2:33" ht="14.4" x14ac:dyDescent="0.35">
      <c r="B5" s="193" t="s">
        <v>39</v>
      </c>
    </row>
    <row r="6" spans="2:33" s="194" customFormat="1" ht="14.4" x14ac:dyDescent="0.35">
      <c r="B6" s="15" t="s">
        <v>40</v>
      </c>
      <c r="C6" s="194" t="str">
        <f>'Covering Letter '!D5</f>
        <v>CS/0066/2025</v>
      </c>
      <c r="D6" s="195"/>
      <c r="F6" s="196"/>
      <c r="G6" s="44"/>
      <c r="T6" s="197"/>
      <c r="U6" s="197"/>
    </row>
    <row r="7" spans="2:33" ht="14.4" x14ac:dyDescent="0.35">
      <c r="B7" s="198"/>
    </row>
    <row r="8" spans="2:33" s="199" customFormat="1" ht="22.05" customHeight="1" x14ac:dyDescent="0.3">
      <c r="B8" s="329" t="s">
        <v>41</v>
      </c>
      <c r="C8" s="330"/>
      <c r="D8" s="330"/>
      <c r="E8" s="330"/>
      <c r="F8" s="330"/>
      <c r="G8" s="331"/>
      <c r="T8" s="200"/>
      <c r="U8" s="200"/>
    </row>
    <row r="9" spans="2:33" ht="14.4" x14ac:dyDescent="0.35">
      <c r="B9" s="201" t="s">
        <v>42</v>
      </c>
      <c r="C9" s="202"/>
      <c r="D9" s="332" t="s">
        <v>43</v>
      </c>
      <c r="E9" s="332"/>
      <c r="F9" s="332"/>
      <c r="G9" s="332"/>
    </row>
    <row r="10" spans="2:33" ht="14.4" x14ac:dyDescent="0.35">
      <c r="B10" s="201" t="s">
        <v>44</v>
      </c>
      <c r="C10" s="202"/>
      <c r="D10" s="332" t="s">
        <v>45</v>
      </c>
      <c r="E10" s="332"/>
      <c r="F10" s="332"/>
      <c r="G10" s="332"/>
    </row>
    <row r="11" spans="2:33" ht="14.4" x14ac:dyDescent="0.35">
      <c r="B11" s="203"/>
      <c r="C11" s="204"/>
      <c r="D11" s="205"/>
      <c r="E11" s="206"/>
      <c r="F11" s="207"/>
      <c r="G11" s="208"/>
    </row>
    <row r="12" spans="2:33" s="199" customFormat="1" ht="35.549999999999997" customHeight="1" x14ac:dyDescent="0.3">
      <c r="B12" s="209" t="s">
        <v>46</v>
      </c>
      <c r="C12" s="209" t="s">
        <v>47</v>
      </c>
      <c r="D12" s="335" t="s">
        <v>48</v>
      </c>
      <c r="E12" s="336"/>
      <c r="F12" s="210" t="s">
        <v>49</v>
      </c>
      <c r="G12" s="209" t="s">
        <v>50</v>
      </c>
      <c r="J12" s="209" t="s">
        <v>46</v>
      </c>
      <c r="K12" s="209" t="s">
        <v>47</v>
      </c>
      <c r="L12" s="335" t="s">
        <v>48</v>
      </c>
      <c r="M12" s="336"/>
      <c r="N12" s="210" t="s">
        <v>49</v>
      </c>
      <c r="O12" s="209" t="s">
        <v>50</v>
      </c>
      <c r="T12" s="211">
        <v>2024</v>
      </c>
      <c r="U12" s="211">
        <v>2025</v>
      </c>
      <c r="AD12" s="212" t="s">
        <v>51</v>
      </c>
      <c r="AE12" s="213" t="s">
        <v>52</v>
      </c>
      <c r="AF12" s="212" t="s">
        <v>53</v>
      </c>
      <c r="AG12" s="213" t="s">
        <v>54</v>
      </c>
    </row>
    <row r="13" spans="2:33" ht="14.4" x14ac:dyDescent="0.35">
      <c r="B13" s="214">
        <v>1</v>
      </c>
      <c r="C13" s="215" t="s">
        <v>55</v>
      </c>
      <c r="D13" s="337">
        <v>75087.399999999994</v>
      </c>
      <c r="E13" s="338"/>
      <c r="F13" s="216">
        <f>G13/D13</f>
        <v>12600.54398817911</v>
      </c>
      <c r="G13" s="216">
        <f>AG21</f>
        <v>946142086.65799999</v>
      </c>
      <c r="J13" s="214">
        <v>1</v>
      </c>
      <c r="K13" s="215" t="s">
        <v>55</v>
      </c>
      <c r="L13" s="337">
        <v>75087.399999999994</v>
      </c>
      <c r="M13" s="338"/>
      <c r="N13" s="216">
        <f>O13/L13</f>
        <v>12600.54398817911</v>
      </c>
      <c r="O13" s="216">
        <f>AG21</f>
        <v>946142086.65799999</v>
      </c>
      <c r="T13" s="192">
        <v>1034431000</v>
      </c>
      <c r="U13" s="192">
        <f>G13</f>
        <v>946142086.65799999</v>
      </c>
      <c r="V13" s="217">
        <f>U13-T13</f>
        <v>-88288913.342000008</v>
      </c>
      <c r="W13" s="217"/>
      <c r="X13" s="218">
        <f>V13/T13</f>
        <v>-8.5350219919936673E-2</v>
      </c>
      <c r="Y13" s="189" t="s">
        <v>56</v>
      </c>
      <c r="AD13" s="219">
        <f>'SC HO'!F42+'SC HO'!G42+'SC HO'!H42</f>
        <v>765899800</v>
      </c>
      <c r="AE13" s="220">
        <v>0</v>
      </c>
      <c r="AF13" s="219">
        <f>'TOOLS RECAP'!G152</f>
        <v>103092667.58647996</v>
      </c>
      <c r="AG13" s="219">
        <f>SUM(AD13:AF13)</f>
        <v>868992467.5864799</v>
      </c>
    </row>
    <row r="14" spans="2:33" ht="14.4" x14ac:dyDescent="0.35">
      <c r="B14" s="221">
        <v>2</v>
      </c>
      <c r="C14" s="222" t="s">
        <v>57</v>
      </c>
      <c r="D14" s="333">
        <v>10888</v>
      </c>
      <c r="E14" s="334"/>
      <c r="F14" s="216">
        <f>G14/D14</f>
        <v>11120.499632623072</v>
      </c>
      <c r="G14" s="223">
        <f>AG22</f>
        <v>121080000</v>
      </c>
      <c r="J14" s="221">
        <v>2</v>
      </c>
      <c r="K14" s="222" t="s">
        <v>57</v>
      </c>
      <c r="L14" s="333">
        <v>10888</v>
      </c>
      <c r="M14" s="334"/>
      <c r="N14" s="216">
        <f>O14/L14</f>
        <v>11120.499632623072</v>
      </c>
      <c r="O14" s="223">
        <f>AG22</f>
        <v>121080000</v>
      </c>
      <c r="T14" s="192">
        <v>127646000</v>
      </c>
      <c r="U14" s="192">
        <f t="shared" ref="U14:U16" si="0">G14</f>
        <v>121080000</v>
      </c>
      <c r="V14" s="217">
        <f t="shared" ref="V14:V17" si="1">U14-T14</f>
        <v>-6566000</v>
      </c>
      <c r="W14" s="217"/>
      <c r="X14" s="218">
        <f t="shared" ref="X14:X17" si="2">V14/T14</f>
        <v>-5.1439136361499771E-2</v>
      </c>
      <c r="Y14" s="189" t="s">
        <v>58</v>
      </c>
      <c r="AD14" s="219">
        <f>'SC HO'!I42</f>
        <v>121080000</v>
      </c>
      <c r="AE14" s="220">
        <v>0</v>
      </c>
      <c r="AF14" s="219">
        <v>0</v>
      </c>
      <c r="AG14" s="219">
        <f>SUM(AD14:AF14)</f>
        <v>121080000</v>
      </c>
    </row>
    <row r="15" spans="2:33" ht="14.4" x14ac:dyDescent="0.35">
      <c r="B15" s="221">
        <v>3</v>
      </c>
      <c r="C15" s="224" t="s">
        <v>59</v>
      </c>
      <c r="D15" s="333">
        <v>317937</v>
      </c>
      <c r="E15" s="334"/>
      <c r="F15" s="216">
        <f>G15/D15</f>
        <v>982.91531542412486</v>
      </c>
      <c r="G15" s="223">
        <f>AG23</f>
        <v>312505146.63999999</v>
      </c>
      <c r="J15" s="221">
        <v>3</v>
      </c>
      <c r="K15" s="224" t="s">
        <v>59</v>
      </c>
      <c r="L15" s="333">
        <v>317937</v>
      </c>
      <c r="M15" s="334"/>
      <c r="N15" s="216">
        <f>O15/L15</f>
        <v>982.91531542412486</v>
      </c>
      <c r="O15" s="223">
        <f>AG23</f>
        <v>312505146.63999999</v>
      </c>
      <c r="T15" s="192">
        <v>280908000</v>
      </c>
      <c r="U15" s="192">
        <f t="shared" si="0"/>
        <v>312505146.63999999</v>
      </c>
      <c r="V15" s="217">
        <f t="shared" si="1"/>
        <v>31597146.639999986</v>
      </c>
      <c r="W15" s="217"/>
      <c r="X15" s="218">
        <f t="shared" si="2"/>
        <v>0.11248218861691367</v>
      </c>
      <c r="Y15" s="189" t="s">
        <v>60</v>
      </c>
      <c r="AD15" s="219">
        <f>'SC HO'!J42+'SC HO'!K42</f>
        <v>267446000</v>
      </c>
      <c r="AE15" s="220">
        <v>0</v>
      </c>
      <c r="AF15" s="219">
        <f>'TOOLS RECAP'!G171</f>
        <v>39794064.193999998</v>
      </c>
      <c r="AG15" s="219">
        <f>SUM(AD15:AF15)</f>
        <v>307240064.19400001</v>
      </c>
    </row>
    <row r="16" spans="2:33" ht="14.4" x14ac:dyDescent="0.35">
      <c r="B16" s="221">
        <v>4</v>
      </c>
      <c r="C16" s="224" t="s">
        <v>61</v>
      </c>
      <c r="D16" s="333">
        <v>0</v>
      </c>
      <c r="E16" s="334"/>
      <c r="F16" s="225" t="s">
        <v>62</v>
      </c>
      <c r="G16" s="223">
        <f>AG24</f>
        <v>39453560</v>
      </c>
      <c r="J16" s="221">
        <v>4</v>
      </c>
      <c r="K16" s="224" t="s">
        <v>61</v>
      </c>
      <c r="L16" s="333">
        <v>0</v>
      </c>
      <c r="M16" s="334"/>
      <c r="N16" s="225" t="s">
        <v>62</v>
      </c>
      <c r="O16" s="223">
        <f>AG24</f>
        <v>39453560</v>
      </c>
      <c r="T16" s="192">
        <v>51732000</v>
      </c>
      <c r="U16" s="192">
        <f t="shared" si="0"/>
        <v>39453560</v>
      </c>
      <c r="V16" s="217">
        <f t="shared" si="1"/>
        <v>-12278440</v>
      </c>
      <c r="W16" s="217"/>
      <c r="X16" s="218">
        <f t="shared" si="2"/>
        <v>-0.237347096574654</v>
      </c>
      <c r="Y16" s="189" t="s">
        <v>56</v>
      </c>
      <c r="AD16" s="219">
        <f>'SC HO'!L42</f>
        <v>32704000</v>
      </c>
      <c r="AE16" s="220">
        <v>0</v>
      </c>
      <c r="AF16" s="219">
        <f>'TOOLS RECAP'!G188</f>
        <v>14496474.479999999</v>
      </c>
      <c r="AG16" s="219">
        <f>SUM(AD16:AF16)</f>
        <v>47200474.479999997</v>
      </c>
    </row>
    <row r="17" spans="2:33" ht="14.4" x14ac:dyDescent="0.35">
      <c r="B17" s="221">
        <v>5</v>
      </c>
      <c r="C17" s="224" t="s">
        <v>63</v>
      </c>
      <c r="D17" s="333">
        <v>58275</v>
      </c>
      <c r="E17" s="334"/>
      <c r="F17" s="216">
        <f>G17/D17</f>
        <v>1469.1635091548692</v>
      </c>
      <c r="G17" s="223">
        <f>AG25</f>
        <v>85615503.496000007</v>
      </c>
      <c r="J17" s="221">
        <v>5</v>
      </c>
      <c r="K17" s="224" t="s">
        <v>63</v>
      </c>
      <c r="L17" s="333">
        <v>58275</v>
      </c>
      <c r="M17" s="334"/>
      <c r="N17" s="216">
        <f>O17/L17</f>
        <v>1469.1635091548692</v>
      </c>
      <c r="O17" s="223">
        <f>AG25</f>
        <v>85615503.496000007</v>
      </c>
      <c r="T17" s="192">
        <v>93283000</v>
      </c>
      <c r="U17" s="192">
        <f>G17</f>
        <v>85615503.496000007</v>
      </c>
      <c r="V17" s="217">
        <f t="shared" si="1"/>
        <v>-7667496.5039999932</v>
      </c>
      <c r="W17" s="217"/>
      <c r="X17" s="218">
        <f t="shared" si="2"/>
        <v>-8.2196075426390583E-2</v>
      </c>
      <c r="Y17" s="189" t="s">
        <v>64</v>
      </c>
      <c r="AD17" s="219">
        <f>'SC HO'!M42+'SC HO'!N42</f>
        <v>81311800</v>
      </c>
      <c r="AE17" s="220">
        <v>0</v>
      </c>
      <c r="AF17" s="219">
        <f>'TOOLS RECAP'!G219</f>
        <v>3270291.97</v>
      </c>
      <c r="AG17" s="219">
        <f>SUM(AD17:AF17)</f>
        <v>84582091.969999999</v>
      </c>
    </row>
    <row r="18" spans="2:33" ht="14.4" x14ac:dyDescent="0.35">
      <c r="B18" s="221"/>
      <c r="C18" s="226"/>
      <c r="D18" s="227"/>
      <c r="E18" s="227"/>
      <c r="F18" s="228"/>
      <c r="G18" s="223"/>
      <c r="J18" s="221"/>
      <c r="K18" s="226"/>
      <c r="L18" s="227"/>
      <c r="M18" s="227"/>
      <c r="N18" s="228"/>
      <c r="O18" s="223"/>
      <c r="AD18" s="229"/>
      <c r="AE18" s="230"/>
      <c r="AF18" s="229">
        <f>SUM(AF13:AF17)</f>
        <v>160653498.23047996</v>
      </c>
      <c r="AG18" s="229"/>
    </row>
    <row r="19" spans="2:33" ht="14.4" x14ac:dyDescent="0.35">
      <c r="B19" s="326" t="s">
        <v>65</v>
      </c>
      <c r="C19" s="327"/>
      <c r="D19" s="327"/>
      <c r="E19" s="327"/>
      <c r="F19" s="328"/>
      <c r="G19" s="231">
        <f>SUM(G13:G17)</f>
        <v>1504796296.7939999</v>
      </c>
      <c r="J19" s="326" t="s">
        <v>65</v>
      </c>
      <c r="K19" s="327"/>
      <c r="L19" s="327"/>
      <c r="M19" s="327"/>
      <c r="N19" s="328"/>
      <c r="O19" s="231">
        <f>SUM(O13:O17)</f>
        <v>1504796296.7939999</v>
      </c>
      <c r="T19" s="192">
        <f>SUM(T13:T17)</f>
        <v>1588000000</v>
      </c>
      <c r="U19" s="192">
        <f>SUM(U13:U17)</f>
        <v>1504796296.7939999</v>
      </c>
      <c r="V19" s="217">
        <f>U19-T19</f>
        <v>-83203703.20600009</v>
      </c>
      <c r="X19" s="218">
        <f>V19/T19</f>
        <v>-5.2395279096977387E-2</v>
      </c>
      <c r="AF19" s="232"/>
    </row>
    <row r="20" spans="2:33" ht="14.4" x14ac:dyDescent="0.35">
      <c r="B20" s="326" t="s">
        <v>66</v>
      </c>
      <c r="C20" s="327"/>
      <c r="D20" s="327"/>
      <c r="E20" s="327"/>
      <c r="F20" s="328"/>
      <c r="G20" s="231">
        <f>ROUNDUP(G19,-3)</f>
        <v>1504797000</v>
      </c>
      <c r="J20" s="326" t="s">
        <v>66</v>
      </c>
      <c r="K20" s="327"/>
      <c r="L20" s="327"/>
      <c r="M20" s="327"/>
      <c r="N20" s="328"/>
      <c r="O20" s="231">
        <f>ROUNDUP(O19,-3)</f>
        <v>1504797000</v>
      </c>
      <c r="AD20" s="212" t="s">
        <v>51</v>
      </c>
      <c r="AE20" s="213" t="s">
        <v>52</v>
      </c>
      <c r="AF20" s="212" t="s">
        <v>53</v>
      </c>
      <c r="AG20" s="213" t="s">
        <v>54</v>
      </c>
    </row>
    <row r="21" spans="2:33" ht="28.8" x14ac:dyDescent="0.35">
      <c r="B21" s="186" t="s">
        <v>19</v>
      </c>
      <c r="E21" s="233"/>
      <c r="F21" s="234"/>
      <c r="G21" s="233"/>
      <c r="T21" s="197"/>
      <c r="U21" s="217"/>
      <c r="V21" s="217"/>
      <c r="X21" s="210" t="s">
        <v>67</v>
      </c>
      <c r="AD21" s="219">
        <f>AD13</f>
        <v>765899800</v>
      </c>
      <c r="AE21" s="220">
        <v>0</v>
      </c>
      <c r="AF21" s="219">
        <f>'TOOLS RECAP (2)'!K122</f>
        <v>180242286.65799993</v>
      </c>
      <c r="AG21" s="219">
        <f>SUM(AD21:AF21)</f>
        <v>946142086.65799999</v>
      </c>
    </row>
    <row r="22" spans="2:33" ht="14.4" x14ac:dyDescent="0.35">
      <c r="B22" s="186" t="s">
        <v>588</v>
      </c>
      <c r="E22" s="233"/>
      <c r="F22" s="234"/>
      <c r="G22" s="233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6"/>
      <c r="T22" s="192">
        <f>G13/X22</f>
        <v>11680766.501950618</v>
      </c>
      <c r="U22" s="197"/>
      <c r="V22" s="197"/>
      <c r="W22" s="197"/>
      <c r="X22" s="216">
        <v>81</v>
      </c>
      <c r="AD22" s="219">
        <f t="shared" ref="AD22:AD25" si="3">AD14</f>
        <v>121080000</v>
      </c>
      <c r="AE22" s="220">
        <v>0</v>
      </c>
      <c r="AF22" s="219">
        <v>0</v>
      </c>
      <c r="AG22" s="219">
        <f>SUM(AD22:AF22)</f>
        <v>121080000</v>
      </c>
    </row>
    <row r="23" spans="2:33" ht="14.4" x14ac:dyDescent="0.35">
      <c r="B23" s="186" t="s">
        <v>587</v>
      </c>
      <c r="E23" s="233"/>
      <c r="F23" s="234"/>
      <c r="G23" s="233"/>
      <c r="S23" s="186"/>
      <c r="T23" s="192">
        <f>G14/X23</f>
        <v>8072000</v>
      </c>
      <c r="V23" s="237"/>
      <c r="W23" s="237"/>
      <c r="X23" s="216">
        <v>15</v>
      </c>
      <c r="AC23" s="238"/>
      <c r="AD23" s="219">
        <f t="shared" si="3"/>
        <v>267446000</v>
      </c>
      <c r="AE23" s="220">
        <v>0</v>
      </c>
      <c r="AF23" s="219">
        <f>'TOOLS RECAP (2)'!K141</f>
        <v>45059146.640000001</v>
      </c>
      <c r="AG23" s="219">
        <f>SUM(AD23:AF23)</f>
        <v>312505146.63999999</v>
      </c>
    </row>
    <row r="24" spans="2:33" ht="14.4" x14ac:dyDescent="0.35">
      <c r="B24" s="186" t="s">
        <v>586</v>
      </c>
      <c r="E24" s="233"/>
      <c r="F24" s="234"/>
      <c r="G24" s="233"/>
      <c r="S24" s="186"/>
      <c r="T24" s="192">
        <f>G15/X24</f>
        <v>9765785.8324999996</v>
      </c>
      <c r="U24" s="237"/>
      <c r="V24" s="239"/>
      <c r="W24" s="239"/>
      <c r="X24" s="216">
        <v>32</v>
      </c>
      <c r="AC24" s="238"/>
      <c r="AD24" s="219">
        <f t="shared" si="3"/>
        <v>32704000</v>
      </c>
      <c r="AE24" s="220">
        <v>0</v>
      </c>
      <c r="AF24" s="219">
        <f>'TOOLS RECAP (2)'!K157</f>
        <v>6749560</v>
      </c>
      <c r="AG24" s="219">
        <f>SUM(AD24:AF24)</f>
        <v>39453560</v>
      </c>
    </row>
    <row r="25" spans="2:33" ht="14.4" x14ac:dyDescent="0.35">
      <c r="B25" s="186" t="s">
        <v>68</v>
      </c>
      <c r="E25" s="233"/>
      <c r="F25" s="234"/>
      <c r="G25" s="233"/>
      <c r="T25" s="192">
        <f>G16/X25</f>
        <v>9863390</v>
      </c>
      <c r="U25" s="192">
        <f>T17+T25</f>
        <v>103146390</v>
      </c>
      <c r="V25" s="240">
        <f>G17-U25</f>
        <v>-17530886.503999993</v>
      </c>
      <c r="W25" s="239"/>
      <c r="X25" s="225">
        <v>4</v>
      </c>
      <c r="AC25" s="238"/>
      <c r="AD25" s="219">
        <f t="shared" si="3"/>
        <v>81311800</v>
      </c>
      <c r="AE25" s="220">
        <v>0</v>
      </c>
      <c r="AF25" s="219">
        <f>'TOOLS RECAP (2)'!K179</f>
        <v>4303703.4960000003</v>
      </c>
      <c r="AG25" s="219">
        <f>SUM(AD25:AF25)</f>
        <v>85615503.496000007</v>
      </c>
    </row>
    <row r="26" spans="2:33" ht="14.4" x14ac:dyDescent="0.35">
      <c r="B26" s="186" t="s">
        <v>69</v>
      </c>
      <c r="E26" s="233"/>
      <c r="F26" s="234"/>
      <c r="G26" s="233"/>
      <c r="V26" s="240"/>
      <c r="W26" s="239"/>
      <c r="X26" s="225"/>
      <c r="AC26" s="238"/>
    </row>
    <row r="27" spans="2:33" ht="14.4" x14ac:dyDescent="0.35">
      <c r="B27" s="186" t="s">
        <v>70</v>
      </c>
      <c r="E27" s="233"/>
      <c r="F27" s="234"/>
      <c r="G27" s="233"/>
      <c r="J27" s="189" t="s">
        <v>611</v>
      </c>
      <c r="K27" s="191">
        <f>'SC HO'!O60</f>
        <v>1108460305.034169</v>
      </c>
      <c r="L27" s="189">
        <f>'SC HO'!N60</f>
        <v>0</v>
      </c>
      <c r="V27" s="240"/>
      <c r="W27" s="239"/>
      <c r="X27" s="225"/>
      <c r="AC27" s="238"/>
    </row>
    <row r="28" spans="2:33" ht="14.4" x14ac:dyDescent="0.35">
      <c r="B28" s="186" t="s">
        <v>585</v>
      </c>
      <c r="E28" s="233"/>
      <c r="F28" s="234"/>
      <c r="G28" s="233"/>
      <c r="K28" s="191">
        <f>'TOOLS RECAP (2)'!M180</f>
        <v>218212587.82047939</v>
      </c>
      <c r="V28" s="240"/>
      <c r="W28" s="239"/>
      <c r="X28" s="225"/>
      <c r="AC28" s="238"/>
    </row>
    <row r="29" spans="2:33" ht="14.4" x14ac:dyDescent="0.35">
      <c r="B29" s="186" t="s">
        <v>584</v>
      </c>
      <c r="E29" s="233"/>
      <c r="F29" s="234"/>
      <c r="G29" s="233"/>
      <c r="K29" s="191">
        <f>K27+K28</f>
        <v>1326672892.8546484</v>
      </c>
      <c r="L29" s="321">
        <f>G20-K29</f>
        <v>178124107.14535165</v>
      </c>
      <c r="N29" s="237">
        <f>L29/G20</f>
        <v>0.11837085477001326</v>
      </c>
      <c r="V29" s="240"/>
      <c r="W29" s="239"/>
      <c r="X29" s="225"/>
      <c r="AC29" s="238"/>
    </row>
    <row r="30" spans="2:33" ht="14.4" x14ac:dyDescent="0.35">
      <c r="B30" s="186" t="s">
        <v>583</v>
      </c>
      <c r="E30" s="233"/>
      <c r="F30" s="234"/>
      <c r="G30" s="233"/>
      <c r="V30" s="240"/>
      <c r="W30" s="239"/>
      <c r="X30" s="225"/>
      <c r="AC30" s="238"/>
    </row>
    <row r="31" spans="2:33" ht="14.4" x14ac:dyDescent="0.35">
      <c r="B31" s="186" t="s">
        <v>582</v>
      </c>
      <c r="E31" s="233"/>
      <c r="F31" s="234"/>
      <c r="G31" s="233"/>
      <c r="V31" s="240"/>
      <c r="W31" s="239"/>
      <c r="X31" s="225"/>
      <c r="AC31" s="238"/>
    </row>
    <row r="32" spans="2:33" ht="14.4" x14ac:dyDescent="0.35">
      <c r="B32" s="186" t="s">
        <v>581</v>
      </c>
      <c r="E32" s="233"/>
      <c r="F32" s="234"/>
      <c r="G32" s="233"/>
      <c r="V32" s="240"/>
      <c r="W32" s="239"/>
      <c r="X32" s="225"/>
      <c r="AC32" s="238"/>
    </row>
    <row r="33" spans="2:29" ht="14.4" x14ac:dyDescent="0.35">
      <c r="B33" s="186" t="s">
        <v>31</v>
      </c>
      <c r="E33" s="233"/>
      <c r="F33" s="234"/>
      <c r="G33" s="233"/>
      <c r="V33" s="240"/>
      <c r="W33" s="239"/>
      <c r="X33" s="225"/>
      <c r="AC33" s="238"/>
    </row>
    <row r="34" spans="2:29" ht="14.4" x14ac:dyDescent="0.35">
      <c r="B34" s="186" t="s">
        <v>32</v>
      </c>
      <c r="E34" s="233"/>
      <c r="F34" s="234"/>
      <c r="G34" s="233"/>
      <c r="V34" s="240"/>
      <c r="W34" s="239"/>
      <c r="X34" s="241"/>
      <c r="AC34" s="238"/>
    </row>
    <row r="35" spans="2:29" ht="14.4" x14ac:dyDescent="0.35">
      <c r="B35" s="186" t="s">
        <v>33</v>
      </c>
      <c r="E35" s="233"/>
      <c r="F35" s="234"/>
      <c r="G35" s="233"/>
      <c r="V35" s="240"/>
      <c r="W35" s="239"/>
      <c r="X35" s="241"/>
      <c r="AC35" s="238"/>
    </row>
    <row r="36" spans="2:29" ht="14.4" x14ac:dyDescent="0.35">
      <c r="B36" s="198"/>
      <c r="E36" s="233"/>
      <c r="F36" s="234"/>
      <c r="G36" s="233"/>
      <c r="U36" s="237"/>
      <c r="AC36" s="238"/>
    </row>
    <row r="37" spans="2:29" ht="14.4" x14ac:dyDescent="0.35">
      <c r="B37" s="198"/>
      <c r="E37" s="233"/>
      <c r="F37" s="234"/>
      <c r="G37" s="233"/>
      <c r="U37" s="237"/>
      <c r="AC37" s="238"/>
    </row>
    <row r="38" spans="2:29" ht="14.4" x14ac:dyDescent="0.35">
      <c r="B38" s="198"/>
      <c r="E38" s="233"/>
      <c r="F38" s="234"/>
      <c r="G38" s="233"/>
      <c r="T38" s="192" t="s">
        <v>71</v>
      </c>
      <c r="U38" s="247">
        <f>'SC HO'!O59</f>
        <v>159981294.96583113</v>
      </c>
      <c r="AC38" s="238"/>
    </row>
    <row r="39" spans="2:29" ht="14.4" x14ac:dyDescent="0.35">
      <c r="B39" s="28" t="s">
        <v>35</v>
      </c>
      <c r="C39" s="28"/>
      <c r="D39" s="28"/>
      <c r="E39" s="28"/>
      <c r="F39" s="35" t="s">
        <v>72</v>
      </c>
      <c r="T39" s="192" t="s">
        <v>73</v>
      </c>
      <c r="U39" s="247">
        <f>'SC HO'!O60</f>
        <v>1108460305.034169</v>
      </c>
      <c r="AC39" s="238"/>
    </row>
    <row r="40" spans="2:29" ht="14.4" x14ac:dyDescent="0.35">
      <c r="B40" s="29" t="s">
        <v>36</v>
      </c>
      <c r="C40" s="29"/>
      <c r="D40" s="29"/>
      <c r="E40" s="29"/>
      <c r="F40" s="36" t="str">
        <f>'Covering Letter '!B10</f>
        <v>PT United Tractors Tbk</v>
      </c>
      <c r="T40" s="192" t="s">
        <v>53</v>
      </c>
      <c r="U40" s="248">
        <f>'TOOLS RECAP'!K154</f>
        <v>9347730.1164799631</v>
      </c>
      <c r="AC40" s="238"/>
    </row>
    <row r="41" spans="2:29" ht="14.4" x14ac:dyDescent="0.35">
      <c r="B41" s="30"/>
      <c r="C41" s="31"/>
      <c r="D41" s="28"/>
      <c r="E41" s="28"/>
      <c r="F41" s="234"/>
      <c r="G41" s="37"/>
      <c r="U41" s="247">
        <f>SUM(U38:U40)</f>
        <v>1277789330.1164799</v>
      </c>
      <c r="AC41" s="238"/>
    </row>
    <row r="42" spans="2:29" ht="14.4" x14ac:dyDescent="0.35">
      <c r="B42" s="30"/>
      <c r="C42" s="31"/>
      <c r="D42" s="28"/>
      <c r="E42" s="28"/>
      <c r="G42" s="37"/>
      <c r="U42" s="238">
        <f>U41/G20</f>
        <v>0.84914399092799886</v>
      </c>
    </row>
    <row r="43" spans="2:29" ht="14.4" x14ac:dyDescent="0.35">
      <c r="B43" s="30"/>
      <c r="C43" s="31"/>
      <c r="D43" s="28"/>
      <c r="E43" s="28"/>
      <c r="G43" s="37"/>
    </row>
    <row r="44" spans="2:29" ht="14.4" x14ac:dyDescent="0.35">
      <c r="B44" s="30"/>
      <c r="C44" s="31"/>
      <c r="D44" s="28"/>
      <c r="E44" s="28"/>
      <c r="G44" s="38"/>
    </row>
    <row r="45" spans="2:29" ht="14.4" x14ac:dyDescent="0.35">
      <c r="B45" s="30"/>
      <c r="C45" s="31"/>
      <c r="D45" s="30"/>
      <c r="E45" s="31"/>
      <c r="G45" s="37"/>
    </row>
    <row r="46" spans="2:29" ht="14.4" x14ac:dyDescent="0.35">
      <c r="B46" s="32" t="str">
        <f>'Covering Letter '!B49</f>
        <v>Sandy Yudha S</v>
      </c>
      <c r="C46" s="32"/>
      <c r="D46" s="32"/>
      <c r="E46" s="32"/>
      <c r="F46" s="39" t="str">
        <f>RIGHT('Covering Letter '!D15,18)</f>
        <v>Sara Kirsti Loebis</v>
      </c>
      <c r="G46" s="40"/>
    </row>
    <row r="47" spans="2:29" ht="14.4" x14ac:dyDescent="0.35">
      <c r="B47" s="33" t="str">
        <f>'Covering Letter '!B50</f>
        <v>Strategic Business &amp; Sales Division Head</v>
      </c>
      <c r="C47" s="33"/>
      <c r="D47" s="33"/>
      <c r="E47" s="33"/>
      <c r="F47" s="41" t="str">
        <f>'Covering Letter '!D16</f>
        <v>Corporate Governance &amp; Sustainability Division Head</v>
      </c>
      <c r="G47" s="42"/>
    </row>
  </sheetData>
  <mergeCells count="19">
    <mergeCell ref="L17:M17"/>
    <mergeCell ref="J19:N19"/>
    <mergeCell ref="J20:N20"/>
    <mergeCell ref="L12:M12"/>
    <mergeCell ref="L13:M13"/>
    <mergeCell ref="L14:M14"/>
    <mergeCell ref="L15:M15"/>
    <mergeCell ref="L16:M16"/>
    <mergeCell ref="B20:F20"/>
    <mergeCell ref="B8:G8"/>
    <mergeCell ref="D9:G9"/>
    <mergeCell ref="D10:G10"/>
    <mergeCell ref="D17:E17"/>
    <mergeCell ref="B19:F19"/>
    <mergeCell ref="D12:E12"/>
    <mergeCell ref="D13:E13"/>
    <mergeCell ref="D14:E14"/>
    <mergeCell ref="D15:E15"/>
    <mergeCell ref="D16:E16"/>
  </mergeCells>
  <pageMargins left="0.70866141732283472" right="0.70866141732283472" top="0.74803149606299213" bottom="0.74803149606299213" header="0.31496062992125984" footer="0.31496062992125984"/>
  <pageSetup scale="73" orientation="portrait" r:id="rId1"/>
  <ignoredErrors>
    <ignoredError sqref="T19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B824-E00E-4F8B-BA9B-4C2171C7D7B9}">
  <sheetPr>
    <pageSetUpPr fitToPage="1"/>
  </sheetPr>
  <dimension ref="A5:T62"/>
  <sheetViews>
    <sheetView showGridLines="0" view="pageBreakPreview" topLeftCell="E40" zoomScale="77" zoomScaleNormal="70" zoomScaleSheetLayoutView="75" workbookViewId="0">
      <selection activeCell="O64" sqref="O64"/>
    </sheetView>
  </sheetViews>
  <sheetFormatPr defaultColWidth="9.21875" defaultRowHeight="14.4" x14ac:dyDescent="0.3"/>
  <cols>
    <col min="1" max="1" width="11.5546875" style="22" bestFit="1" customWidth="1"/>
    <col min="2" max="2" width="6.5546875" style="46" customWidth="1"/>
    <col min="3" max="3" width="24.5546875" style="46" customWidth="1"/>
    <col min="4" max="4" width="10.5546875" style="46" customWidth="1"/>
    <col min="5" max="5" width="7.5546875" style="46" bestFit="1" customWidth="1"/>
    <col min="6" max="14" width="15.21875" style="46" customWidth="1"/>
    <col min="15" max="15" width="61.44140625" style="46" customWidth="1"/>
    <col min="16" max="16" width="20.77734375" style="46" hidden="1" customWidth="1"/>
    <col min="17" max="17" width="16.44140625" style="46" hidden="1" customWidth="1"/>
    <col min="18" max="18" width="14.77734375" style="46" hidden="1" customWidth="1"/>
    <col min="19" max="19" width="12.21875" style="46" hidden="1" customWidth="1"/>
    <col min="20" max="20" width="10.5546875" style="46" bestFit="1" customWidth="1"/>
    <col min="21" max="264" width="9.21875" style="46"/>
    <col min="265" max="265" width="3.5546875" style="46" customWidth="1"/>
    <col min="266" max="266" width="6.5546875" style="46" customWidth="1"/>
    <col min="267" max="267" width="17.77734375" style="46" customWidth="1"/>
    <col min="268" max="268" width="4.5546875" style="46" customWidth="1"/>
    <col min="269" max="269" width="8.5546875" style="46" customWidth="1"/>
    <col min="270" max="270" width="22.21875" style="46" customWidth="1"/>
    <col min="271" max="271" width="45.5546875" style="46" customWidth="1"/>
    <col min="272" max="272" width="4.5546875" style="46" customWidth="1"/>
    <col min="273" max="273" width="46.5546875" style="46" bestFit="1" customWidth="1"/>
    <col min="274" max="274" width="13.77734375" style="46" bestFit="1" customWidth="1"/>
    <col min="275" max="276" width="10.5546875" style="46" bestFit="1" customWidth="1"/>
    <col min="277" max="520" width="9.21875" style="46"/>
    <col min="521" max="521" width="3.5546875" style="46" customWidth="1"/>
    <col min="522" max="522" width="6.5546875" style="46" customWidth="1"/>
    <col min="523" max="523" width="17.77734375" style="46" customWidth="1"/>
    <col min="524" max="524" width="4.5546875" style="46" customWidth="1"/>
    <col min="525" max="525" width="8.5546875" style="46" customWidth="1"/>
    <col min="526" max="526" width="22.21875" style="46" customWidth="1"/>
    <col min="527" max="527" width="45.5546875" style="46" customWidth="1"/>
    <col min="528" max="528" width="4.5546875" style="46" customWidth="1"/>
    <col min="529" max="529" width="46.5546875" style="46" bestFit="1" customWidth="1"/>
    <col min="530" max="530" width="13.77734375" style="46" bestFit="1" customWidth="1"/>
    <col min="531" max="532" width="10.5546875" style="46" bestFit="1" customWidth="1"/>
    <col min="533" max="776" width="9.21875" style="46"/>
    <col min="777" max="777" width="3.5546875" style="46" customWidth="1"/>
    <col min="778" max="778" width="6.5546875" style="46" customWidth="1"/>
    <col min="779" max="779" width="17.77734375" style="46" customWidth="1"/>
    <col min="780" max="780" width="4.5546875" style="46" customWidth="1"/>
    <col min="781" max="781" width="8.5546875" style="46" customWidth="1"/>
    <col min="782" max="782" width="22.21875" style="46" customWidth="1"/>
    <col min="783" max="783" width="45.5546875" style="46" customWidth="1"/>
    <col min="784" max="784" width="4.5546875" style="46" customWidth="1"/>
    <col min="785" max="785" width="46.5546875" style="46" bestFit="1" customWidth="1"/>
    <col min="786" max="786" width="13.77734375" style="46" bestFit="1" customWidth="1"/>
    <col min="787" max="788" width="10.5546875" style="46" bestFit="1" customWidth="1"/>
    <col min="789" max="1032" width="9.21875" style="46"/>
    <col min="1033" max="1033" width="3.5546875" style="46" customWidth="1"/>
    <col min="1034" max="1034" width="6.5546875" style="46" customWidth="1"/>
    <col min="1035" max="1035" width="17.77734375" style="46" customWidth="1"/>
    <col min="1036" max="1036" width="4.5546875" style="46" customWidth="1"/>
    <col min="1037" max="1037" width="8.5546875" style="46" customWidth="1"/>
    <col min="1038" max="1038" width="22.21875" style="46" customWidth="1"/>
    <col min="1039" max="1039" width="45.5546875" style="46" customWidth="1"/>
    <col min="1040" max="1040" width="4.5546875" style="46" customWidth="1"/>
    <col min="1041" max="1041" width="46.5546875" style="46" bestFit="1" customWidth="1"/>
    <col min="1042" max="1042" width="13.77734375" style="46" bestFit="1" customWidth="1"/>
    <col min="1043" max="1044" width="10.5546875" style="46" bestFit="1" customWidth="1"/>
    <col min="1045" max="1288" width="9.21875" style="46"/>
    <col min="1289" max="1289" width="3.5546875" style="46" customWidth="1"/>
    <col min="1290" max="1290" width="6.5546875" style="46" customWidth="1"/>
    <col min="1291" max="1291" width="17.77734375" style="46" customWidth="1"/>
    <col min="1292" max="1292" width="4.5546875" style="46" customWidth="1"/>
    <col min="1293" max="1293" width="8.5546875" style="46" customWidth="1"/>
    <col min="1294" max="1294" width="22.21875" style="46" customWidth="1"/>
    <col min="1295" max="1295" width="45.5546875" style="46" customWidth="1"/>
    <col min="1296" max="1296" width="4.5546875" style="46" customWidth="1"/>
    <col min="1297" max="1297" width="46.5546875" style="46" bestFit="1" customWidth="1"/>
    <col min="1298" max="1298" width="13.77734375" style="46" bestFit="1" customWidth="1"/>
    <col min="1299" max="1300" width="10.5546875" style="46" bestFit="1" customWidth="1"/>
    <col min="1301" max="1544" width="9.21875" style="46"/>
    <col min="1545" max="1545" width="3.5546875" style="46" customWidth="1"/>
    <col min="1546" max="1546" width="6.5546875" style="46" customWidth="1"/>
    <col min="1547" max="1547" width="17.77734375" style="46" customWidth="1"/>
    <col min="1548" max="1548" width="4.5546875" style="46" customWidth="1"/>
    <col min="1549" max="1549" width="8.5546875" style="46" customWidth="1"/>
    <col min="1550" max="1550" width="22.21875" style="46" customWidth="1"/>
    <col min="1551" max="1551" width="45.5546875" style="46" customWidth="1"/>
    <col min="1552" max="1552" width="4.5546875" style="46" customWidth="1"/>
    <col min="1553" max="1553" width="46.5546875" style="46" bestFit="1" customWidth="1"/>
    <col min="1554" max="1554" width="13.77734375" style="46" bestFit="1" customWidth="1"/>
    <col min="1555" max="1556" width="10.5546875" style="46" bestFit="1" customWidth="1"/>
    <col min="1557" max="1800" width="9.21875" style="46"/>
    <col min="1801" max="1801" width="3.5546875" style="46" customWidth="1"/>
    <col min="1802" max="1802" width="6.5546875" style="46" customWidth="1"/>
    <col min="1803" max="1803" width="17.77734375" style="46" customWidth="1"/>
    <col min="1804" max="1804" width="4.5546875" style="46" customWidth="1"/>
    <col min="1805" max="1805" width="8.5546875" style="46" customWidth="1"/>
    <col min="1806" max="1806" width="22.21875" style="46" customWidth="1"/>
    <col min="1807" max="1807" width="45.5546875" style="46" customWidth="1"/>
    <col min="1808" max="1808" width="4.5546875" style="46" customWidth="1"/>
    <col min="1809" max="1809" width="46.5546875" style="46" bestFit="1" customWidth="1"/>
    <col min="1810" max="1810" width="13.77734375" style="46" bestFit="1" customWidth="1"/>
    <col min="1811" max="1812" width="10.5546875" style="46" bestFit="1" customWidth="1"/>
    <col min="1813" max="2056" width="9.21875" style="46"/>
    <col min="2057" max="2057" width="3.5546875" style="46" customWidth="1"/>
    <col min="2058" max="2058" width="6.5546875" style="46" customWidth="1"/>
    <col min="2059" max="2059" width="17.77734375" style="46" customWidth="1"/>
    <col min="2060" max="2060" width="4.5546875" style="46" customWidth="1"/>
    <col min="2061" max="2061" width="8.5546875" style="46" customWidth="1"/>
    <col min="2062" max="2062" width="22.21875" style="46" customWidth="1"/>
    <col min="2063" max="2063" width="45.5546875" style="46" customWidth="1"/>
    <col min="2064" max="2064" width="4.5546875" style="46" customWidth="1"/>
    <col min="2065" max="2065" width="46.5546875" style="46" bestFit="1" customWidth="1"/>
    <col min="2066" max="2066" width="13.77734375" style="46" bestFit="1" customWidth="1"/>
    <col min="2067" max="2068" width="10.5546875" style="46" bestFit="1" customWidth="1"/>
    <col min="2069" max="2312" width="9.21875" style="46"/>
    <col min="2313" max="2313" width="3.5546875" style="46" customWidth="1"/>
    <col min="2314" max="2314" width="6.5546875" style="46" customWidth="1"/>
    <col min="2315" max="2315" width="17.77734375" style="46" customWidth="1"/>
    <col min="2316" max="2316" width="4.5546875" style="46" customWidth="1"/>
    <col min="2317" max="2317" width="8.5546875" style="46" customWidth="1"/>
    <col min="2318" max="2318" width="22.21875" style="46" customWidth="1"/>
    <col min="2319" max="2319" width="45.5546875" style="46" customWidth="1"/>
    <col min="2320" max="2320" width="4.5546875" style="46" customWidth="1"/>
    <col min="2321" max="2321" width="46.5546875" style="46" bestFit="1" customWidth="1"/>
    <col min="2322" max="2322" width="13.77734375" style="46" bestFit="1" customWidth="1"/>
    <col min="2323" max="2324" width="10.5546875" style="46" bestFit="1" customWidth="1"/>
    <col min="2325" max="2568" width="9.21875" style="46"/>
    <col min="2569" max="2569" width="3.5546875" style="46" customWidth="1"/>
    <col min="2570" max="2570" width="6.5546875" style="46" customWidth="1"/>
    <col min="2571" max="2571" width="17.77734375" style="46" customWidth="1"/>
    <col min="2572" max="2572" width="4.5546875" style="46" customWidth="1"/>
    <col min="2573" max="2573" width="8.5546875" style="46" customWidth="1"/>
    <col min="2574" max="2574" width="22.21875" style="46" customWidth="1"/>
    <col min="2575" max="2575" width="45.5546875" style="46" customWidth="1"/>
    <col min="2576" max="2576" width="4.5546875" style="46" customWidth="1"/>
    <col min="2577" max="2577" width="46.5546875" style="46" bestFit="1" customWidth="1"/>
    <col min="2578" max="2578" width="13.77734375" style="46" bestFit="1" customWidth="1"/>
    <col min="2579" max="2580" width="10.5546875" style="46" bestFit="1" customWidth="1"/>
    <col min="2581" max="2824" width="9.21875" style="46"/>
    <col min="2825" max="2825" width="3.5546875" style="46" customWidth="1"/>
    <col min="2826" max="2826" width="6.5546875" style="46" customWidth="1"/>
    <col min="2827" max="2827" width="17.77734375" style="46" customWidth="1"/>
    <col min="2828" max="2828" width="4.5546875" style="46" customWidth="1"/>
    <col min="2829" max="2829" width="8.5546875" style="46" customWidth="1"/>
    <col min="2830" max="2830" width="22.21875" style="46" customWidth="1"/>
    <col min="2831" max="2831" width="45.5546875" style="46" customWidth="1"/>
    <col min="2832" max="2832" width="4.5546875" style="46" customWidth="1"/>
    <col min="2833" max="2833" width="46.5546875" style="46" bestFit="1" customWidth="1"/>
    <col min="2834" max="2834" width="13.77734375" style="46" bestFit="1" customWidth="1"/>
    <col min="2835" max="2836" width="10.5546875" style="46" bestFit="1" customWidth="1"/>
    <col min="2837" max="3080" width="9.21875" style="46"/>
    <col min="3081" max="3081" width="3.5546875" style="46" customWidth="1"/>
    <col min="3082" max="3082" width="6.5546875" style="46" customWidth="1"/>
    <col min="3083" max="3083" width="17.77734375" style="46" customWidth="1"/>
    <col min="3084" max="3084" width="4.5546875" style="46" customWidth="1"/>
    <col min="3085" max="3085" width="8.5546875" style="46" customWidth="1"/>
    <col min="3086" max="3086" width="22.21875" style="46" customWidth="1"/>
    <col min="3087" max="3087" width="45.5546875" style="46" customWidth="1"/>
    <col min="3088" max="3088" width="4.5546875" style="46" customWidth="1"/>
    <col min="3089" max="3089" width="46.5546875" style="46" bestFit="1" customWidth="1"/>
    <col min="3090" max="3090" width="13.77734375" style="46" bestFit="1" customWidth="1"/>
    <col min="3091" max="3092" width="10.5546875" style="46" bestFit="1" customWidth="1"/>
    <col min="3093" max="3336" width="9.21875" style="46"/>
    <col min="3337" max="3337" width="3.5546875" style="46" customWidth="1"/>
    <col min="3338" max="3338" width="6.5546875" style="46" customWidth="1"/>
    <col min="3339" max="3339" width="17.77734375" style="46" customWidth="1"/>
    <col min="3340" max="3340" width="4.5546875" style="46" customWidth="1"/>
    <col min="3341" max="3341" width="8.5546875" style="46" customWidth="1"/>
    <col min="3342" max="3342" width="22.21875" style="46" customWidth="1"/>
    <col min="3343" max="3343" width="45.5546875" style="46" customWidth="1"/>
    <col min="3344" max="3344" width="4.5546875" style="46" customWidth="1"/>
    <col min="3345" max="3345" width="46.5546875" style="46" bestFit="1" customWidth="1"/>
    <col min="3346" max="3346" width="13.77734375" style="46" bestFit="1" customWidth="1"/>
    <col min="3347" max="3348" width="10.5546875" style="46" bestFit="1" customWidth="1"/>
    <col min="3349" max="3592" width="9.21875" style="46"/>
    <col min="3593" max="3593" width="3.5546875" style="46" customWidth="1"/>
    <col min="3594" max="3594" width="6.5546875" style="46" customWidth="1"/>
    <col min="3595" max="3595" width="17.77734375" style="46" customWidth="1"/>
    <col min="3596" max="3596" width="4.5546875" style="46" customWidth="1"/>
    <col min="3597" max="3597" width="8.5546875" style="46" customWidth="1"/>
    <col min="3598" max="3598" width="22.21875" style="46" customWidth="1"/>
    <col min="3599" max="3599" width="45.5546875" style="46" customWidth="1"/>
    <col min="3600" max="3600" width="4.5546875" style="46" customWidth="1"/>
    <col min="3601" max="3601" width="46.5546875" style="46" bestFit="1" customWidth="1"/>
    <col min="3602" max="3602" width="13.77734375" style="46" bestFit="1" customWidth="1"/>
    <col min="3603" max="3604" width="10.5546875" style="46" bestFit="1" customWidth="1"/>
    <col min="3605" max="3848" width="9.21875" style="46"/>
    <col min="3849" max="3849" width="3.5546875" style="46" customWidth="1"/>
    <col min="3850" max="3850" width="6.5546875" style="46" customWidth="1"/>
    <col min="3851" max="3851" width="17.77734375" style="46" customWidth="1"/>
    <col min="3852" max="3852" width="4.5546875" style="46" customWidth="1"/>
    <col min="3853" max="3853" width="8.5546875" style="46" customWidth="1"/>
    <col min="3854" max="3854" width="22.21875" style="46" customWidth="1"/>
    <col min="3855" max="3855" width="45.5546875" style="46" customWidth="1"/>
    <col min="3856" max="3856" width="4.5546875" style="46" customWidth="1"/>
    <col min="3857" max="3857" width="46.5546875" style="46" bestFit="1" customWidth="1"/>
    <col min="3858" max="3858" width="13.77734375" style="46" bestFit="1" customWidth="1"/>
    <col min="3859" max="3860" width="10.5546875" style="46" bestFit="1" customWidth="1"/>
    <col min="3861" max="4104" width="9.21875" style="46"/>
    <col min="4105" max="4105" width="3.5546875" style="46" customWidth="1"/>
    <col min="4106" max="4106" width="6.5546875" style="46" customWidth="1"/>
    <col min="4107" max="4107" width="17.77734375" style="46" customWidth="1"/>
    <col min="4108" max="4108" width="4.5546875" style="46" customWidth="1"/>
    <col min="4109" max="4109" width="8.5546875" style="46" customWidth="1"/>
    <col min="4110" max="4110" width="22.21875" style="46" customWidth="1"/>
    <col min="4111" max="4111" width="45.5546875" style="46" customWidth="1"/>
    <col min="4112" max="4112" width="4.5546875" style="46" customWidth="1"/>
    <col min="4113" max="4113" width="46.5546875" style="46" bestFit="1" customWidth="1"/>
    <col min="4114" max="4114" width="13.77734375" style="46" bestFit="1" customWidth="1"/>
    <col min="4115" max="4116" width="10.5546875" style="46" bestFit="1" customWidth="1"/>
    <col min="4117" max="4360" width="9.21875" style="46"/>
    <col min="4361" max="4361" width="3.5546875" style="46" customWidth="1"/>
    <col min="4362" max="4362" width="6.5546875" style="46" customWidth="1"/>
    <col min="4363" max="4363" width="17.77734375" style="46" customWidth="1"/>
    <col min="4364" max="4364" width="4.5546875" style="46" customWidth="1"/>
    <col min="4365" max="4365" width="8.5546875" style="46" customWidth="1"/>
    <col min="4366" max="4366" width="22.21875" style="46" customWidth="1"/>
    <col min="4367" max="4367" width="45.5546875" style="46" customWidth="1"/>
    <col min="4368" max="4368" width="4.5546875" style="46" customWidth="1"/>
    <col min="4369" max="4369" width="46.5546875" style="46" bestFit="1" customWidth="1"/>
    <col min="4370" max="4370" width="13.77734375" style="46" bestFit="1" customWidth="1"/>
    <col min="4371" max="4372" width="10.5546875" style="46" bestFit="1" customWidth="1"/>
    <col min="4373" max="4616" width="9.21875" style="46"/>
    <col min="4617" max="4617" width="3.5546875" style="46" customWidth="1"/>
    <col min="4618" max="4618" width="6.5546875" style="46" customWidth="1"/>
    <col min="4619" max="4619" width="17.77734375" style="46" customWidth="1"/>
    <col min="4620" max="4620" width="4.5546875" style="46" customWidth="1"/>
    <col min="4621" max="4621" width="8.5546875" style="46" customWidth="1"/>
    <col min="4622" max="4622" width="22.21875" style="46" customWidth="1"/>
    <col min="4623" max="4623" width="45.5546875" style="46" customWidth="1"/>
    <col min="4624" max="4624" width="4.5546875" style="46" customWidth="1"/>
    <col min="4625" max="4625" width="46.5546875" style="46" bestFit="1" customWidth="1"/>
    <col min="4626" max="4626" width="13.77734375" style="46" bestFit="1" customWidth="1"/>
    <col min="4627" max="4628" width="10.5546875" style="46" bestFit="1" customWidth="1"/>
    <col min="4629" max="4872" width="9.21875" style="46"/>
    <col min="4873" max="4873" width="3.5546875" style="46" customWidth="1"/>
    <col min="4874" max="4874" width="6.5546875" style="46" customWidth="1"/>
    <col min="4875" max="4875" width="17.77734375" style="46" customWidth="1"/>
    <col min="4876" max="4876" width="4.5546875" style="46" customWidth="1"/>
    <col min="4877" max="4877" width="8.5546875" style="46" customWidth="1"/>
    <col min="4878" max="4878" width="22.21875" style="46" customWidth="1"/>
    <col min="4879" max="4879" width="45.5546875" style="46" customWidth="1"/>
    <col min="4880" max="4880" width="4.5546875" style="46" customWidth="1"/>
    <col min="4881" max="4881" width="46.5546875" style="46" bestFit="1" customWidth="1"/>
    <col min="4882" max="4882" width="13.77734375" style="46" bestFit="1" customWidth="1"/>
    <col min="4883" max="4884" width="10.5546875" style="46" bestFit="1" customWidth="1"/>
    <col min="4885" max="5128" width="9.21875" style="46"/>
    <col min="5129" max="5129" width="3.5546875" style="46" customWidth="1"/>
    <col min="5130" max="5130" width="6.5546875" style="46" customWidth="1"/>
    <col min="5131" max="5131" width="17.77734375" style="46" customWidth="1"/>
    <col min="5132" max="5132" width="4.5546875" style="46" customWidth="1"/>
    <col min="5133" max="5133" width="8.5546875" style="46" customWidth="1"/>
    <col min="5134" max="5134" width="22.21875" style="46" customWidth="1"/>
    <col min="5135" max="5135" width="45.5546875" style="46" customWidth="1"/>
    <col min="5136" max="5136" width="4.5546875" style="46" customWidth="1"/>
    <col min="5137" max="5137" width="46.5546875" style="46" bestFit="1" customWidth="1"/>
    <col min="5138" max="5138" width="13.77734375" style="46" bestFit="1" customWidth="1"/>
    <col min="5139" max="5140" width="10.5546875" style="46" bestFit="1" customWidth="1"/>
    <col min="5141" max="5384" width="9.21875" style="46"/>
    <col min="5385" max="5385" width="3.5546875" style="46" customWidth="1"/>
    <col min="5386" max="5386" width="6.5546875" style="46" customWidth="1"/>
    <col min="5387" max="5387" width="17.77734375" style="46" customWidth="1"/>
    <col min="5388" max="5388" width="4.5546875" style="46" customWidth="1"/>
    <col min="5389" max="5389" width="8.5546875" style="46" customWidth="1"/>
    <col min="5390" max="5390" width="22.21875" style="46" customWidth="1"/>
    <col min="5391" max="5391" width="45.5546875" style="46" customWidth="1"/>
    <col min="5392" max="5392" width="4.5546875" style="46" customWidth="1"/>
    <col min="5393" max="5393" width="46.5546875" style="46" bestFit="1" customWidth="1"/>
    <col min="5394" max="5394" width="13.77734375" style="46" bestFit="1" customWidth="1"/>
    <col min="5395" max="5396" width="10.5546875" style="46" bestFit="1" customWidth="1"/>
    <col min="5397" max="5640" width="9.21875" style="46"/>
    <col min="5641" max="5641" width="3.5546875" style="46" customWidth="1"/>
    <col min="5642" max="5642" width="6.5546875" style="46" customWidth="1"/>
    <col min="5643" max="5643" width="17.77734375" style="46" customWidth="1"/>
    <col min="5644" max="5644" width="4.5546875" style="46" customWidth="1"/>
    <col min="5645" max="5645" width="8.5546875" style="46" customWidth="1"/>
    <col min="5646" max="5646" width="22.21875" style="46" customWidth="1"/>
    <col min="5647" max="5647" width="45.5546875" style="46" customWidth="1"/>
    <col min="5648" max="5648" width="4.5546875" style="46" customWidth="1"/>
    <col min="5649" max="5649" width="46.5546875" style="46" bestFit="1" customWidth="1"/>
    <col min="5650" max="5650" width="13.77734375" style="46" bestFit="1" customWidth="1"/>
    <col min="5651" max="5652" width="10.5546875" style="46" bestFit="1" customWidth="1"/>
    <col min="5653" max="5896" width="9.21875" style="46"/>
    <col min="5897" max="5897" width="3.5546875" style="46" customWidth="1"/>
    <col min="5898" max="5898" width="6.5546875" style="46" customWidth="1"/>
    <col min="5899" max="5899" width="17.77734375" style="46" customWidth="1"/>
    <col min="5900" max="5900" width="4.5546875" style="46" customWidth="1"/>
    <col min="5901" max="5901" width="8.5546875" style="46" customWidth="1"/>
    <col min="5902" max="5902" width="22.21875" style="46" customWidth="1"/>
    <col min="5903" max="5903" width="45.5546875" style="46" customWidth="1"/>
    <col min="5904" max="5904" width="4.5546875" style="46" customWidth="1"/>
    <col min="5905" max="5905" width="46.5546875" style="46" bestFit="1" customWidth="1"/>
    <col min="5906" max="5906" width="13.77734375" style="46" bestFit="1" customWidth="1"/>
    <col min="5907" max="5908" width="10.5546875" style="46" bestFit="1" customWidth="1"/>
    <col min="5909" max="6152" width="9.21875" style="46"/>
    <col min="6153" max="6153" width="3.5546875" style="46" customWidth="1"/>
    <col min="6154" max="6154" width="6.5546875" style="46" customWidth="1"/>
    <col min="6155" max="6155" width="17.77734375" style="46" customWidth="1"/>
    <col min="6156" max="6156" width="4.5546875" style="46" customWidth="1"/>
    <col min="6157" max="6157" width="8.5546875" style="46" customWidth="1"/>
    <col min="6158" max="6158" width="22.21875" style="46" customWidth="1"/>
    <col min="6159" max="6159" width="45.5546875" style="46" customWidth="1"/>
    <col min="6160" max="6160" width="4.5546875" style="46" customWidth="1"/>
    <col min="6161" max="6161" width="46.5546875" style="46" bestFit="1" customWidth="1"/>
    <col min="6162" max="6162" width="13.77734375" style="46" bestFit="1" customWidth="1"/>
    <col min="6163" max="6164" width="10.5546875" style="46" bestFit="1" customWidth="1"/>
    <col min="6165" max="6408" width="9.21875" style="46"/>
    <col min="6409" max="6409" width="3.5546875" style="46" customWidth="1"/>
    <col min="6410" max="6410" width="6.5546875" style="46" customWidth="1"/>
    <col min="6411" max="6411" width="17.77734375" style="46" customWidth="1"/>
    <col min="6412" max="6412" width="4.5546875" style="46" customWidth="1"/>
    <col min="6413" max="6413" width="8.5546875" style="46" customWidth="1"/>
    <col min="6414" max="6414" width="22.21875" style="46" customWidth="1"/>
    <col min="6415" max="6415" width="45.5546875" style="46" customWidth="1"/>
    <col min="6416" max="6416" width="4.5546875" style="46" customWidth="1"/>
    <col min="6417" max="6417" width="46.5546875" style="46" bestFit="1" customWidth="1"/>
    <col min="6418" max="6418" width="13.77734375" style="46" bestFit="1" customWidth="1"/>
    <col min="6419" max="6420" width="10.5546875" style="46" bestFit="1" customWidth="1"/>
    <col min="6421" max="6664" width="9.21875" style="46"/>
    <col min="6665" max="6665" width="3.5546875" style="46" customWidth="1"/>
    <col min="6666" max="6666" width="6.5546875" style="46" customWidth="1"/>
    <col min="6667" max="6667" width="17.77734375" style="46" customWidth="1"/>
    <col min="6668" max="6668" width="4.5546875" style="46" customWidth="1"/>
    <col min="6669" max="6669" width="8.5546875" style="46" customWidth="1"/>
    <col min="6670" max="6670" width="22.21875" style="46" customWidth="1"/>
    <col min="6671" max="6671" width="45.5546875" style="46" customWidth="1"/>
    <col min="6672" max="6672" width="4.5546875" style="46" customWidth="1"/>
    <col min="6673" max="6673" width="46.5546875" style="46" bestFit="1" customWidth="1"/>
    <col min="6674" max="6674" width="13.77734375" style="46" bestFit="1" customWidth="1"/>
    <col min="6675" max="6676" width="10.5546875" style="46" bestFit="1" customWidth="1"/>
    <col min="6677" max="6920" width="9.21875" style="46"/>
    <col min="6921" max="6921" width="3.5546875" style="46" customWidth="1"/>
    <col min="6922" max="6922" width="6.5546875" style="46" customWidth="1"/>
    <col min="6923" max="6923" width="17.77734375" style="46" customWidth="1"/>
    <col min="6924" max="6924" width="4.5546875" style="46" customWidth="1"/>
    <col min="6925" max="6925" width="8.5546875" style="46" customWidth="1"/>
    <col min="6926" max="6926" width="22.21875" style="46" customWidth="1"/>
    <col min="6927" max="6927" width="45.5546875" style="46" customWidth="1"/>
    <col min="6928" max="6928" width="4.5546875" style="46" customWidth="1"/>
    <col min="6929" max="6929" width="46.5546875" style="46" bestFit="1" customWidth="1"/>
    <col min="6930" max="6930" width="13.77734375" style="46" bestFit="1" customWidth="1"/>
    <col min="6931" max="6932" width="10.5546875" style="46" bestFit="1" customWidth="1"/>
    <col min="6933" max="7176" width="9.21875" style="46"/>
    <col min="7177" max="7177" width="3.5546875" style="46" customWidth="1"/>
    <col min="7178" max="7178" width="6.5546875" style="46" customWidth="1"/>
    <col min="7179" max="7179" width="17.77734375" style="46" customWidth="1"/>
    <col min="7180" max="7180" width="4.5546875" style="46" customWidth="1"/>
    <col min="7181" max="7181" width="8.5546875" style="46" customWidth="1"/>
    <col min="7182" max="7182" width="22.21875" style="46" customWidth="1"/>
    <col min="7183" max="7183" width="45.5546875" style="46" customWidth="1"/>
    <col min="7184" max="7184" width="4.5546875" style="46" customWidth="1"/>
    <col min="7185" max="7185" width="46.5546875" style="46" bestFit="1" customWidth="1"/>
    <col min="7186" max="7186" width="13.77734375" style="46" bestFit="1" customWidth="1"/>
    <col min="7187" max="7188" width="10.5546875" style="46" bestFit="1" customWidth="1"/>
    <col min="7189" max="7432" width="9.21875" style="46"/>
    <col min="7433" max="7433" width="3.5546875" style="46" customWidth="1"/>
    <col min="7434" max="7434" width="6.5546875" style="46" customWidth="1"/>
    <col min="7435" max="7435" width="17.77734375" style="46" customWidth="1"/>
    <col min="7436" max="7436" width="4.5546875" style="46" customWidth="1"/>
    <col min="7437" max="7437" width="8.5546875" style="46" customWidth="1"/>
    <col min="7438" max="7438" width="22.21875" style="46" customWidth="1"/>
    <col min="7439" max="7439" width="45.5546875" style="46" customWidth="1"/>
    <col min="7440" max="7440" width="4.5546875" style="46" customWidth="1"/>
    <col min="7441" max="7441" width="46.5546875" style="46" bestFit="1" customWidth="1"/>
    <col min="7442" max="7442" width="13.77734375" style="46" bestFit="1" customWidth="1"/>
    <col min="7443" max="7444" width="10.5546875" style="46" bestFit="1" customWidth="1"/>
    <col min="7445" max="7688" width="9.21875" style="46"/>
    <col min="7689" max="7689" width="3.5546875" style="46" customWidth="1"/>
    <col min="7690" max="7690" width="6.5546875" style="46" customWidth="1"/>
    <col min="7691" max="7691" width="17.77734375" style="46" customWidth="1"/>
    <col min="7692" max="7692" width="4.5546875" style="46" customWidth="1"/>
    <col min="7693" max="7693" width="8.5546875" style="46" customWidth="1"/>
    <col min="7694" max="7694" width="22.21875" style="46" customWidth="1"/>
    <col min="7695" max="7695" width="45.5546875" style="46" customWidth="1"/>
    <col min="7696" max="7696" width="4.5546875" style="46" customWidth="1"/>
    <col min="7697" max="7697" width="46.5546875" style="46" bestFit="1" customWidth="1"/>
    <col min="7698" max="7698" width="13.77734375" style="46" bestFit="1" customWidth="1"/>
    <col min="7699" max="7700" width="10.5546875" style="46" bestFit="1" customWidth="1"/>
    <col min="7701" max="7944" width="9.21875" style="46"/>
    <col min="7945" max="7945" width="3.5546875" style="46" customWidth="1"/>
    <col min="7946" max="7946" width="6.5546875" style="46" customWidth="1"/>
    <col min="7947" max="7947" width="17.77734375" style="46" customWidth="1"/>
    <col min="7948" max="7948" width="4.5546875" style="46" customWidth="1"/>
    <col min="7949" max="7949" width="8.5546875" style="46" customWidth="1"/>
    <col min="7950" max="7950" width="22.21875" style="46" customWidth="1"/>
    <col min="7951" max="7951" width="45.5546875" style="46" customWidth="1"/>
    <col min="7952" max="7952" width="4.5546875" style="46" customWidth="1"/>
    <col min="7953" max="7953" width="46.5546875" style="46" bestFit="1" customWidth="1"/>
    <col min="7954" max="7954" width="13.77734375" style="46" bestFit="1" customWidth="1"/>
    <col min="7955" max="7956" width="10.5546875" style="46" bestFit="1" customWidth="1"/>
    <col min="7957" max="8200" width="9.21875" style="46"/>
    <col min="8201" max="8201" width="3.5546875" style="46" customWidth="1"/>
    <col min="8202" max="8202" width="6.5546875" style="46" customWidth="1"/>
    <col min="8203" max="8203" width="17.77734375" style="46" customWidth="1"/>
    <col min="8204" max="8204" width="4.5546875" style="46" customWidth="1"/>
    <col min="8205" max="8205" width="8.5546875" style="46" customWidth="1"/>
    <col min="8206" max="8206" width="22.21875" style="46" customWidth="1"/>
    <col min="8207" max="8207" width="45.5546875" style="46" customWidth="1"/>
    <col min="8208" max="8208" width="4.5546875" style="46" customWidth="1"/>
    <col min="8209" max="8209" width="46.5546875" style="46" bestFit="1" customWidth="1"/>
    <col min="8210" max="8210" width="13.77734375" style="46" bestFit="1" customWidth="1"/>
    <col min="8211" max="8212" width="10.5546875" style="46" bestFit="1" customWidth="1"/>
    <col min="8213" max="8456" width="9.21875" style="46"/>
    <col min="8457" max="8457" width="3.5546875" style="46" customWidth="1"/>
    <col min="8458" max="8458" width="6.5546875" style="46" customWidth="1"/>
    <col min="8459" max="8459" width="17.77734375" style="46" customWidth="1"/>
    <col min="8460" max="8460" width="4.5546875" style="46" customWidth="1"/>
    <col min="8461" max="8461" width="8.5546875" style="46" customWidth="1"/>
    <col min="8462" max="8462" width="22.21875" style="46" customWidth="1"/>
    <col min="8463" max="8463" width="45.5546875" style="46" customWidth="1"/>
    <col min="8464" max="8464" width="4.5546875" style="46" customWidth="1"/>
    <col min="8465" max="8465" width="46.5546875" style="46" bestFit="1" customWidth="1"/>
    <col min="8466" max="8466" width="13.77734375" style="46" bestFit="1" customWidth="1"/>
    <col min="8467" max="8468" width="10.5546875" style="46" bestFit="1" customWidth="1"/>
    <col min="8469" max="8712" width="9.21875" style="46"/>
    <col min="8713" max="8713" width="3.5546875" style="46" customWidth="1"/>
    <col min="8714" max="8714" width="6.5546875" style="46" customWidth="1"/>
    <col min="8715" max="8715" width="17.77734375" style="46" customWidth="1"/>
    <col min="8716" max="8716" width="4.5546875" style="46" customWidth="1"/>
    <col min="8717" max="8717" width="8.5546875" style="46" customWidth="1"/>
    <col min="8718" max="8718" width="22.21875" style="46" customWidth="1"/>
    <col min="8719" max="8719" width="45.5546875" style="46" customWidth="1"/>
    <col min="8720" max="8720" width="4.5546875" style="46" customWidth="1"/>
    <col min="8721" max="8721" width="46.5546875" style="46" bestFit="1" customWidth="1"/>
    <col min="8722" max="8722" width="13.77734375" style="46" bestFit="1" customWidth="1"/>
    <col min="8723" max="8724" width="10.5546875" style="46" bestFit="1" customWidth="1"/>
    <col min="8725" max="8968" width="9.21875" style="46"/>
    <col min="8969" max="8969" width="3.5546875" style="46" customWidth="1"/>
    <col min="8970" max="8970" width="6.5546875" style="46" customWidth="1"/>
    <col min="8971" max="8971" width="17.77734375" style="46" customWidth="1"/>
    <col min="8972" max="8972" width="4.5546875" style="46" customWidth="1"/>
    <col min="8973" max="8973" width="8.5546875" style="46" customWidth="1"/>
    <col min="8974" max="8974" width="22.21875" style="46" customWidth="1"/>
    <col min="8975" max="8975" width="45.5546875" style="46" customWidth="1"/>
    <col min="8976" max="8976" width="4.5546875" style="46" customWidth="1"/>
    <col min="8977" max="8977" width="46.5546875" style="46" bestFit="1" customWidth="1"/>
    <col min="8978" max="8978" width="13.77734375" style="46" bestFit="1" customWidth="1"/>
    <col min="8979" max="8980" width="10.5546875" style="46" bestFit="1" customWidth="1"/>
    <col min="8981" max="9224" width="9.21875" style="46"/>
    <col min="9225" max="9225" width="3.5546875" style="46" customWidth="1"/>
    <col min="9226" max="9226" width="6.5546875" style="46" customWidth="1"/>
    <col min="9227" max="9227" width="17.77734375" style="46" customWidth="1"/>
    <col min="9228" max="9228" width="4.5546875" style="46" customWidth="1"/>
    <col min="9229" max="9229" width="8.5546875" style="46" customWidth="1"/>
    <col min="9230" max="9230" width="22.21875" style="46" customWidth="1"/>
    <col min="9231" max="9231" width="45.5546875" style="46" customWidth="1"/>
    <col min="9232" max="9232" width="4.5546875" style="46" customWidth="1"/>
    <col min="9233" max="9233" width="46.5546875" style="46" bestFit="1" customWidth="1"/>
    <col min="9234" max="9234" width="13.77734375" style="46" bestFit="1" customWidth="1"/>
    <col min="9235" max="9236" width="10.5546875" style="46" bestFit="1" customWidth="1"/>
    <col min="9237" max="9480" width="9.21875" style="46"/>
    <col min="9481" max="9481" width="3.5546875" style="46" customWidth="1"/>
    <col min="9482" max="9482" width="6.5546875" style="46" customWidth="1"/>
    <col min="9483" max="9483" width="17.77734375" style="46" customWidth="1"/>
    <col min="9484" max="9484" width="4.5546875" style="46" customWidth="1"/>
    <col min="9485" max="9485" width="8.5546875" style="46" customWidth="1"/>
    <col min="9486" max="9486" width="22.21875" style="46" customWidth="1"/>
    <col min="9487" max="9487" width="45.5546875" style="46" customWidth="1"/>
    <col min="9488" max="9488" width="4.5546875" style="46" customWidth="1"/>
    <col min="9489" max="9489" width="46.5546875" style="46" bestFit="1" customWidth="1"/>
    <col min="9490" max="9490" width="13.77734375" style="46" bestFit="1" customWidth="1"/>
    <col min="9491" max="9492" width="10.5546875" style="46" bestFit="1" customWidth="1"/>
    <col min="9493" max="9736" width="9.21875" style="46"/>
    <col min="9737" max="9737" width="3.5546875" style="46" customWidth="1"/>
    <col min="9738" max="9738" width="6.5546875" style="46" customWidth="1"/>
    <col min="9739" max="9739" width="17.77734375" style="46" customWidth="1"/>
    <col min="9740" max="9740" width="4.5546875" style="46" customWidth="1"/>
    <col min="9741" max="9741" width="8.5546875" style="46" customWidth="1"/>
    <col min="9742" max="9742" width="22.21875" style="46" customWidth="1"/>
    <col min="9743" max="9743" width="45.5546875" style="46" customWidth="1"/>
    <col min="9744" max="9744" width="4.5546875" style="46" customWidth="1"/>
    <col min="9745" max="9745" width="46.5546875" style="46" bestFit="1" customWidth="1"/>
    <col min="9746" max="9746" width="13.77734375" style="46" bestFit="1" customWidth="1"/>
    <col min="9747" max="9748" width="10.5546875" style="46" bestFit="1" customWidth="1"/>
    <col min="9749" max="9992" width="9.21875" style="46"/>
    <col min="9993" max="9993" width="3.5546875" style="46" customWidth="1"/>
    <col min="9994" max="9994" width="6.5546875" style="46" customWidth="1"/>
    <col min="9995" max="9995" width="17.77734375" style="46" customWidth="1"/>
    <col min="9996" max="9996" width="4.5546875" style="46" customWidth="1"/>
    <col min="9997" max="9997" width="8.5546875" style="46" customWidth="1"/>
    <col min="9998" max="9998" width="22.21875" style="46" customWidth="1"/>
    <col min="9999" max="9999" width="45.5546875" style="46" customWidth="1"/>
    <col min="10000" max="10000" width="4.5546875" style="46" customWidth="1"/>
    <col min="10001" max="10001" width="46.5546875" style="46" bestFit="1" customWidth="1"/>
    <col min="10002" max="10002" width="13.77734375" style="46" bestFit="1" customWidth="1"/>
    <col min="10003" max="10004" width="10.5546875" style="46" bestFit="1" customWidth="1"/>
    <col min="10005" max="10248" width="9.21875" style="46"/>
    <col min="10249" max="10249" width="3.5546875" style="46" customWidth="1"/>
    <col min="10250" max="10250" width="6.5546875" style="46" customWidth="1"/>
    <col min="10251" max="10251" width="17.77734375" style="46" customWidth="1"/>
    <col min="10252" max="10252" width="4.5546875" style="46" customWidth="1"/>
    <col min="10253" max="10253" width="8.5546875" style="46" customWidth="1"/>
    <col min="10254" max="10254" width="22.21875" style="46" customWidth="1"/>
    <col min="10255" max="10255" width="45.5546875" style="46" customWidth="1"/>
    <col min="10256" max="10256" width="4.5546875" style="46" customWidth="1"/>
    <col min="10257" max="10257" width="46.5546875" style="46" bestFit="1" customWidth="1"/>
    <col min="10258" max="10258" width="13.77734375" style="46" bestFit="1" customWidth="1"/>
    <col min="10259" max="10260" width="10.5546875" style="46" bestFit="1" customWidth="1"/>
    <col min="10261" max="10504" width="9.21875" style="46"/>
    <col min="10505" max="10505" width="3.5546875" style="46" customWidth="1"/>
    <col min="10506" max="10506" width="6.5546875" style="46" customWidth="1"/>
    <col min="10507" max="10507" width="17.77734375" style="46" customWidth="1"/>
    <col min="10508" max="10508" width="4.5546875" style="46" customWidth="1"/>
    <col min="10509" max="10509" width="8.5546875" style="46" customWidth="1"/>
    <col min="10510" max="10510" width="22.21875" style="46" customWidth="1"/>
    <col min="10511" max="10511" width="45.5546875" style="46" customWidth="1"/>
    <col min="10512" max="10512" width="4.5546875" style="46" customWidth="1"/>
    <col min="10513" max="10513" width="46.5546875" style="46" bestFit="1" customWidth="1"/>
    <col min="10514" max="10514" width="13.77734375" style="46" bestFit="1" customWidth="1"/>
    <col min="10515" max="10516" width="10.5546875" style="46" bestFit="1" customWidth="1"/>
    <col min="10517" max="10760" width="9.21875" style="46"/>
    <col min="10761" max="10761" width="3.5546875" style="46" customWidth="1"/>
    <col min="10762" max="10762" width="6.5546875" style="46" customWidth="1"/>
    <col min="10763" max="10763" width="17.77734375" style="46" customWidth="1"/>
    <col min="10764" max="10764" width="4.5546875" style="46" customWidth="1"/>
    <col min="10765" max="10765" width="8.5546875" style="46" customWidth="1"/>
    <col min="10766" max="10766" width="22.21875" style="46" customWidth="1"/>
    <col min="10767" max="10767" width="45.5546875" style="46" customWidth="1"/>
    <col min="10768" max="10768" width="4.5546875" style="46" customWidth="1"/>
    <col min="10769" max="10769" width="46.5546875" style="46" bestFit="1" customWidth="1"/>
    <col min="10770" max="10770" width="13.77734375" style="46" bestFit="1" customWidth="1"/>
    <col min="10771" max="10772" width="10.5546875" style="46" bestFit="1" customWidth="1"/>
    <col min="10773" max="11016" width="9.21875" style="46"/>
    <col min="11017" max="11017" width="3.5546875" style="46" customWidth="1"/>
    <col min="11018" max="11018" width="6.5546875" style="46" customWidth="1"/>
    <col min="11019" max="11019" width="17.77734375" style="46" customWidth="1"/>
    <col min="11020" max="11020" width="4.5546875" style="46" customWidth="1"/>
    <col min="11021" max="11021" width="8.5546875" style="46" customWidth="1"/>
    <col min="11022" max="11022" width="22.21875" style="46" customWidth="1"/>
    <col min="11023" max="11023" width="45.5546875" style="46" customWidth="1"/>
    <col min="11024" max="11024" width="4.5546875" style="46" customWidth="1"/>
    <col min="11025" max="11025" width="46.5546875" style="46" bestFit="1" customWidth="1"/>
    <col min="11026" max="11026" width="13.77734375" style="46" bestFit="1" customWidth="1"/>
    <col min="11027" max="11028" width="10.5546875" style="46" bestFit="1" customWidth="1"/>
    <col min="11029" max="11272" width="9.21875" style="46"/>
    <col min="11273" max="11273" width="3.5546875" style="46" customWidth="1"/>
    <col min="11274" max="11274" width="6.5546875" style="46" customWidth="1"/>
    <col min="11275" max="11275" width="17.77734375" style="46" customWidth="1"/>
    <col min="11276" max="11276" width="4.5546875" style="46" customWidth="1"/>
    <col min="11277" max="11277" width="8.5546875" style="46" customWidth="1"/>
    <col min="11278" max="11278" width="22.21875" style="46" customWidth="1"/>
    <col min="11279" max="11279" width="45.5546875" style="46" customWidth="1"/>
    <col min="11280" max="11280" width="4.5546875" style="46" customWidth="1"/>
    <col min="11281" max="11281" width="46.5546875" style="46" bestFit="1" customWidth="1"/>
    <col min="11282" max="11282" width="13.77734375" style="46" bestFit="1" customWidth="1"/>
    <col min="11283" max="11284" width="10.5546875" style="46" bestFit="1" customWidth="1"/>
    <col min="11285" max="11528" width="9.21875" style="46"/>
    <col min="11529" max="11529" width="3.5546875" style="46" customWidth="1"/>
    <col min="11530" max="11530" width="6.5546875" style="46" customWidth="1"/>
    <col min="11531" max="11531" width="17.77734375" style="46" customWidth="1"/>
    <col min="11532" max="11532" width="4.5546875" style="46" customWidth="1"/>
    <col min="11533" max="11533" width="8.5546875" style="46" customWidth="1"/>
    <col min="11534" max="11534" width="22.21875" style="46" customWidth="1"/>
    <col min="11535" max="11535" width="45.5546875" style="46" customWidth="1"/>
    <col min="11536" max="11536" width="4.5546875" style="46" customWidth="1"/>
    <col min="11537" max="11537" width="46.5546875" style="46" bestFit="1" customWidth="1"/>
    <col min="11538" max="11538" width="13.77734375" style="46" bestFit="1" customWidth="1"/>
    <col min="11539" max="11540" width="10.5546875" style="46" bestFit="1" customWidth="1"/>
    <col min="11541" max="11784" width="9.21875" style="46"/>
    <col min="11785" max="11785" width="3.5546875" style="46" customWidth="1"/>
    <col min="11786" max="11786" width="6.5546875" style="46" customWidth="1"/>
    <col min="11787" max="11787" width="17.77734375" style="46" customWidth="1"/>
    <col min="11788" max="11788" width="4.5546875" style="46" customWidth="1"/>
    <col min="11789" max="11789" width="8.5546875" style="46" customWidth="1"/>
    <col min="11790" max="11790" width="22.21875" style="46" customWidth="1"/>
    <col min="11791" max="11791" width="45.5546875" style="46" customWidth="1"/>
    <col min="11792" max="11792" width="4.5546875" style="46" customWidth="1"/>
    <col min="11793" max="11793" width="46.5546875" style="46" bestFit="1" customWidth="1"/>
    <col min="11794" max="11794" width="13.77734375" style="46" bestFit="1" customWidth="1"/>
    <col min="11795" max="11796" width="10.5546875" style="46" bestFit="1" customWidth="1"/>
    <col min="11797" max="12040" width="9.21875" style="46"/>
    <col min="12041" max="12041" width="3.5546875" style="46" customWidth="1"/>
    <col min="12042" max="12042" width="6.5546875" style="46" customWidth="1"/>
    <col min="12043" max="12043" width="17.77734375" style="46" customWidth="1"/>
    <col min="12044" max="12044" width="4.5546875" style="46" customWidth="1"/>
    <col min="12045" max="12045" width="8.5546875" style="46" customWidth="1"/>
    <col min="12046" max="12046" width="22.21875" style="46" customWidth="1"/>
    <col min="12047" max="12047" width="45.5546875" style="46" customWidth="1"/>
    <col min="12048" max="12048" width="4.5546875" style="46" customWidth="1"/>
    <col min="12049" max="12049" width="46.5546875" style="46" bestFit="1" customWidth="1"/>
    <col min="12050" max="12050" width="13.77734375" style="46" bestFit="1" customWidth="1"/>
    <col min="12051" max="12052" width="10.5546875" style="46" bestFit="1" customWidth="1"/>
    <col min="12053" max="12296" width="9.21875" style="46"/>
    <col min="12297" max="12297" width="3.5546875" style="46" customWidth="1"/>
    <col min="12298" max="12298" width="6.5546875" style="46" customWidth="1"/>
    <col min="12299" max="12299" width="17.77734375" style="46" customWidth="1"/>
    <col min="12300" max="12300" width="4.5546875" style="46" customWidth="1"/>
    <col min="12301" max="12301" width="8.5546875" style="46" customWidth="1"/>
    <col min="12302" max="12302" width="22.21875" style="46" customWidth="1"/>
    <col min="12303" max="12303" width="45.5546875" style="46" customWidth="1"/>
    <col min="12304" max="12304" width="4.5546875" style="46" customWidth="1"/>
    <col min="12305" max="12305" width="46.5546875" style="46" bestFit="1" customWidth="1"/>
    <col min="12306" max="12306" width="13.77734375" style="46" bestFit="1" customWidth="1"/>
    <col min="12307" max="12308" width="10.5546875" style="46" bestFit="1" customWidth="1"/>
    <col min="12309" max="12552" width="9.21875" style="46"/>
    <col min="12553" max="12553" width="3.5546875" style="46" customWidth="1"/>
    <col min="12554" max="12554" width="6.5546875" style="46" customWidth="1"/>
    <col min="12555" max="12555" width="17.77734375" style="46" customWidth="1"/>
    <col min="12556" max="12556" width="4.5546875" style="46" customWidth="1"/>
    <col min="12557" max="12557" width="8.5546875" style="46" customWidth="1"/>
    <col min="12558" max="12558" width="22.21875" style="46" customWidth="1"/>
    <col min="12559" max="12559" width="45.5546875" style="46" customWidth="1"/>
    <col min="12560" max="12560" width="4.5546875" style="46" customWidth="1"/>
    <col min="12561" max="12561" width="46.5546875" style="46" bestFit="1" customWidth="1"/>
    <col min="12562" max="12562" width="13.77734375" style="46" bestFit="1" customWidth="1"/>
    <col min="12563" max="12564" width="10.5546875" style="46" bestFit="1" customWidth="1"/>
    <col min="12565" max="12808" width="9.21875" style="46"/>
    <col min="12809" max="12809" width="3.5546875" style="46" customWidth="1"/>
    <col min="12810" max="12810" width="6.5546875" style="46" customWidth="1"/>
    <col min="12811" max="12811" width="17.77734375" style="46" customWidth="1"/>
    <col min="12812" max="12812" width="4.5546875" style="46" customWidth="1"/>
    <col min="12813" max="12813" width="8.5546875" style="46" customWidth="1"/>
    <col min="12814" max="12814" width="22.21875" style="46" customWidth="1"/>
    <col min="12815" max="12815" width="45.5546875" style="46" customWidth="1"/>
    <col min="12816" max="12816" width="4.5546875" style="46" customWidth="1"/>
    <col min="12817" max="12817" width="46.5546875" style="46" bestFit="1" customWidth="1"/>
    <col min="12818" max="12818" width="13.77734375" style="46" bestFit="1" customWidth="1"/>
    <col min="12819" max="12820" width="10.5546875" style="46" bestFit="1" customWidth="1"/>
    <col min="12821" max="13064" width="9.21875" style="46"/>
    <col min="13065" max="13065" width="3.5546875" style="46" customWidth="1"/>
    <col min="13066" max="13066" width="6.5546875" style="46" customWidth="1"/>
    <col min="13067" max="13067" width="17.77734375" style="46" customWidth="1"/>
    <col min="13068" max="13068" width="4.5546875" style="46" customWidth="1"/>
    <col min="13069" max="13069" width="8.5546875" style="46" customWidth="1"/>
    <col min="13070" max="13070" width="22.21875" style="46" customWidth="1"/>
    <col min="13071" max="13071" width="45.5546875" style="46" customWidth="1"/>
    <col min="13072" max="13072" width="4.5546875" style="46" customWidth="1"/>
    <col min="13073" max="13073" width="46.5546875" style="46" bestFit="1" customWidth="1"/>
    <col min="13074" max="13074" width="13.77734375" style="46" bestFit="1" customWidth="1"/>
    <col min="13075" max="13076" width="10.5546875" style="46" bestFit="1" customWidth="1"/>
    <col min="13077" max="13320" width="9.21875" style="46"/>
    <col min="13321" max="13321" width="3.5546875" style="46" customWidth="1"/>
    <col min="13322" max="13322" width="6.5546875" style="46" customWidth="1"/>
    <col min="13323" max="13323" width="17.77734375" style="46" customWidth="1"/>
    <col min="13324" max="13324" width="4.5546875" style="46" customWidth="1"/>
    <col min="13325" max="13325" width="8.5546875" style="46" customWidth="1"/>
    <col min="13326" max="13326" width="22.21875" style="46" customWidth="1"/>
    <col min="13327" max="13327" width="45.5546875" style="46" customWidth="1"/>
    <col min="13328" max="13328" width="4.5546875" style="46" customWidth="1"/>
    <col min="13329" max="13329" width="46.5546875" style="46" bestFit="1" customWidth="1"/>
    <col min="13330" max="13330" width="13.77734375" style="46" bestFit="1" customWidth="1"/>
    <col min="13331" max="13332" width="10.5546875" style="46" bestFit="1" customWidth="1"/>
    <col min="13333" max="13576" width="9.21875" style="46"/>
    <col min="13577" max="13577" width="3.5546875" style="46" customWidth="1"/>
    <col min="13578" max="13578" width="6.5546875" style="46" customWidth="1"/>
    <col min="13579" max="13579" width="17.77734375" style="46" customWidth="1"/>
    <col min="13580" max="13580" width="4.5546875" style="46" customWidth="1"/>
    <col min="13581" max="13581" width="8.5546875" style="46" customWidth="1"/>
    <col min="13582" max="13582" width="22.21875" style="46" customWidth="1"/>
    <col min="13583" max="13583" width="45.5546875" style="46" customWidth="1"/>
    <col min="13584" max="13584" width="4.5546875" style="46" customWidth="1"/>
    <col min="13585" max="13585" width="46.5546875" style="46" bestFit="1" customWidth="1"/>
    <col min="13586" max="13586" width="13.77734375" style="46" bestFit="1" customWidth="1"/>
    <col min="13587" max="13588" width="10.5546875" style="46" bestFit="1" customWidth="1"/>
    <col min="13589" max="13832" width="9.21875" style="46"/>
    <col min="13833" max="13833" width="3.5546875" style="46" customWidth="1"/>
    <col min="13834" max="13834" width="6.5546875" style="46" customWidth="1"/>
    <col min="13835" max="13835" width="17.77734375" style="46" customWidth="1"/>
    <col min="13836" max="13836" width="4.5546875" style="46" customWidth="1"/>
    <col min="13837" max="13837" width="8.5546875" style="46" customWidth="1"/>
    <col min="13838" max="13838" width="22.21875" style="46" customWidth="1"/>
    <col min="13839" max="13839" width="45.5546875" style="46" customWidth="1"/>
    <col min="13840" max="13840" width="4.5546875" style="46" customWidth="1"/>
    <col min="13841" max="13841" width="46.5546875" style="46" bestFit="1" customWidth="1"/>
    <col min="13842" max="13842" width="13.77734375" style="46" bestFit="1" customWidth="1"/>
    <col min="13843" max="13844" width="10.5546875" style="46" bestFit="1" customWidth="1"/>
    <col min="13845" max="14088" width="9.21875" style="46"/>
    <col min="14089" max="14089" width="3.5546875" style="46" customWidth="1"/>
    <col min="14090" max="14090" width="6.5546875" style="46" customWidth="1"/>
    <col min="14091" max="14091" width="17.77734375" style="46" customWidth="1"/>
    <col min="14092" max="14092" width="4.5546875" style="46" customWidth="1"/>
    <col min="14093" max="14093" width="8.5546875" style="46" customWidth="1"/>
    <col min="14094" max="14094" width="22.21875" style="46" customWidth="1"/>
    <col min="14095" max="14095" width="45.5546875" style="46" customWidth="1"/>
    <col min="14096" max="14096" width="4.5546875" style="46" customWidth="1"/>
    <col min="14097" max="14097" width="46.5546875" style="46" bestFit="1" customWidth="1"/>
    <col min="14098" max="14098" width="13.77734375" style="46" bestFit="1" customWidth="1"/>
    <col min="14099" max="14100" width="10.5546875" style="46" bestFit="1" customWidth="1"/>
    <col min="14101" max="14344" width="9.21875" style="46"/>
    <col min="14345" max="14345" width="3.5546875" style="46" customWidth="1"/>
    <col min="14346" max="14346" width="6.5546875" style="46" customWidth="1"/>
    <col min="14347" max="14347" width="17.77734375" style="46" customWidth="1"/>
    <col min="14348" max="14348" width="4.5546875" style="46" customWidth="1"/>
    <col min="14349" max="14349" width="8.5546875" style="46" customWidth="1"/>
    <col min="14350" max="14350" width="22.21875" style="46" customWidth="1"/>
    <col min="14351" max="14351" width="45.5546875" style="46" customWidth="1"/>
    <col min="14352" max="14352" width="4.5546875" style="46" customWidth="1"/>
    <col min="14353" max="14353" width="46.5546875" style="46" bestFit="1" customWidth="1"/>
    <col min="14354" max="14354" width="13.77734375" style="46" bestFit="1" customWidth="1"/>
    <col min="14355" max="14356" width="10.5546875" style="46" bestFit="1" customWidth="1"/>
    <col min="14357" max="14600" width="9.21875" style="46"/>
    <col min="14601" max="14601" width="3.5546875" style="46" customWidth="1"/>
    <col min="14602" max="14602" width="6.5546875" style="46" customWidth="1"/>
    <col min="14603" max="14603" width="17.77734375" style="46" customWidth="1"/>
    <col min="14604" max="14604" width="4.5546875" style="46" customWidth="1"/>
    <col min="14605" max="14605" width="8.5546875" style="46" customWidth="1"/>
    <col min="14606" max="14606" width="22.21875" style="46" customWidth="1"/>
    <col min="14607" max="14607" width="45.5546875" style="46" customWidth="1"/>
    <col min="14608" max="14608" width="4.5546875" style="46" customWidth="1"/>
    <col min="14609" max="14609" width="46.5546875" style="46" bestFit="1" customWidth="1"/>
    <col min="14610" max="14610" width="13.77734375" style="46" bestFit="1" customWidth="1"/>
    <col min="14611" max="14612" width="10.5546875" style="46" bestFit="1" customWidth="1"/>
    <col min="14613" max="14856" width="9.21875" style="46"/>
    <col min="14857" max="14857" width="3.5546875" style="46" customWidth="1"/>
    <col min="14858" max="14858" width="6.5546875" style="46" customWidth="1"/>
    <col min="14859" max="14859" width="17.77734375" style="46" customWidth="1"/>
    <col min="14860" max="14860" width="4.5546875" style="46" customWidth="1"/>
    <col min="14861" max="14861" width="8.5546875" style="46" customWidth="1"/>
    <col min="14862" max="14862" width="22.21875" style="46" customWidth="1"/>
    <col min="14863" max="14863" width="45.5546875" style="46" customWidth="1"/>
    <col min="14864" max="14864" width="4.5546875" style="46" customWidth="1"/>
    <col min="14865" max="14865" width="46.5546875" style="46" bestFit="1" customWidth="1"/>
    <col min="14866" max="14866" width="13.77734375" style="46" bestFit="1" customWidth="1"/>
    <col min="14867" max="14868" width="10.5546875" style="46" bestFit="1" customWidth="1"/>
    <col min="14869" max="15112" width="9.21875" style="46"/>
    <col min="15113" max="15113" width="3.5546875" style="46" customWidth="1"/>
    <col min="15114" max="15114" width="6.5546875" style="46" customWidth="1"/>
    <col min="15115" max="15115" width="17.77734375" style="46" customWidth="1"/>
    <col min="15116" max="15116" width="4.5546875" style="46" customWidth="1"/>
    <col min="15117" max="15117" width="8.5546875" style="46" customWidth="1"/>
    <col min="15118" max="15118" width="22.21875" style="46" customWidth="1"/>
    <col min="15119" max="15119" width="45.5546875" style="46" customWidth="1"/>
    <col min="15120" max="15120" width="4.5546875" style="46" customWidth="1"/>
    <col min="15121" max="15121" width="46.5546875" style="46" bestFit="1" customWidth="1"/>
    <col min="15122" max="15122" width="13.77734375" style="46" bestFit="1" customWidth="1"/>
    <col min="15123" max="15124" width="10.5546875" style="46" bestFit="1" customWidth="1"/>
    <col min="15125" max="15368" width="9.21875" style="46"/>
    <col min="15369" max="15369" width="3.5546875" style="46" customWidth="1"/>
    <col min="15370" max="15370" width="6.5546875" style="46" customWidth="1"/>
    <col min="15371" max="15371" width="17.77734375" style="46" customWidth="1"/>
    <col min="15372" max="15372" width="4.5546875" style="46" customWidth="1"/>
    <col min="15373" max="15373" width="8.5546875" style="46" customWidth="1"/>
    <col min="15374" max="15374" width="22.21875" style="46" customWidth="1"/>
    <col min="15375" max="15375" width="45.5546875" style="46" customWidth="1"/>
    <col min="15376" max="15376" width="4.5546875" style="46" customWidth="1"/>
    <col min="15377" max="15377" width="46.5546875" style="46" bestFit="1" customWidth="1"/>
    <col min="15378" max="15378" width="13.77734375" style="46" bestFit="1" customWidth="1"/>
    <col min="15379" max="15380" width="10.5546875" style="46" bestFit="1" customWidth="1"/>
    <col min="15381" max="15624" width="9.21875" style="46"/>
    <col min="15625" max="15625" width="3.5546875" style="46" customWidth="1"/>
    <col min="15626" max="15626" width="6.5546875" style="46" customWidth="1"/>
    <col min="15627" max="15627" width="17.77734375" style="46" customWidth="1"/>
    <col min="15628" max="15628" width="4.5546875" style="46" customWidth="1"/>
    <col min="15629" max="15629" width="8.5546875" style="46" customWidth="1"/>
    <col min="15630" max="15630" width="22.21875" style="46" customWidth="1"/>
    <col min="15631" max="15631" width="45.5546875" style="46" customWidth="1"/>
    <col min="15632" max="15632" width="4.5546875" style="46" customWidth="1"/>
    <col min="15633" max="15633" width="46.5546875" style="46" bestFit="1" customWidth="1"/>
    <col min="15634" max="15634" width="13.77734375" style="46" bestFit="1" customWidth="1"/>
    <col min="15635" max="15636" width="10.5546875" style="46" bestFit="1" customWidth="1"/>
    <col min="15637" max="15880" width="9.21875" style="46"/>
    <col min="15881" max="15881" width="3.5546875" style="46" customWidth="1"/>
    <col min="15882" max="15882" width="6.5546875" style="46" customWidth="1"/>
    <col min="15883" max="15883" width="17.77734375" style="46" customWidth="1"/>
    <col min="15884" max="15884" width="4.5546875" style="46" customWidth="1"/>
    <col min="15885" max="15885" width="8.5546875" style="46" customWidth="1"/>
    <col min="15886" max="15886" width="22.21875" style="46" customWidth="1"/>
    <col min="15887" max="15887" width="45.5546875" style="46" customWidth="1"/>
    <col min="15888" max="15888" width="4.5546875" style="46" customWidth="1"/>
    <col min="15889" max="15889" width="46.5546875" style="46" bestFit="1" customWidth="1"/>
    <col min="15890" max="15890" width="13.77734375" style="46" bestFit="1" customWidth="1"/>
    <col min="15891" max="15892" width="10.5546875" style="46" bestFit="1" customWidth="1"/>
    <col min="15893" max="16136" width="9.21875" style="46"/>
    <col min="16137" max="16137" width="3.5546875" style="46" customWidth="1"/>
    <col min="16138" max="16138" width="6.5546875" style="46" customWidth="1"/>
    <col min="16139" max="16139" width="17.77734375" style="46" customWidth="1"/>
    <col min="16140" max="16140" width="4.5546875" style="46" customWidth="1"/>
    <col min="16141" max="16141" width="8.5546875" style="46" customWidth="1"/>
    <col min="16142" max="16142" width="22.21875" style="46" customWidth="1"/>
    <col min="16143" max="16143" width="45.5546875" style="46" customWidth="1"/>
    <col min="16144" max="16144" width="4.5546875" style="46" customWidth="1"/>
    <col min="16145" max="16145" width="46.5546875" style="46" bestFit="1" customWidth="1"/>
    <col min="16146" max="16146" width="13.77734375" style="46" bestFit="1" customWidth="1"/>
    <col min="16147" max="16148" width="10.5546875" style="46" bestFit="1" customWidth="1"/>
    <col min="16149" max="16384" width="9.21875" style="46"/>
  </cols>
  <sheetData>
    <row r="5" spans="1:18" x14ac:dyDescent="0.3">
      <c r="B5" s="43" t="s">
        <v>74</v>
      </c>
    </row>
    <row r="6" spans="1:18" s="48" customFormat="1" x14ac:dyDescent="0.3">
      <c r="A6" s="109"/>
      <c r="B6" s="47" t="s">
        <v>75</v>
      </c>
      <c r="C6" s="112" t="str">
        <f>'Covering Letter '!D5</f>
        <v>CS/0066/2025</v>
      </c>
    </row>
    <row r="7" spans="1:18" x14ac:dyDescent="0.3">
      <c r="B7" s="43"/>
    </row>
    <row r="8" spans="1:18" ht="14.55" customHeight="1" x14ac:dyDescent="0.3">
      <c r="B8" s="340" t="s">
        <v>76</v>
      </c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</row>
    <row r="9" spans="1:18" ht="14.55" customHeight="1" x14ac:dyDescent="0.3">
      <c r="B9" s="340" t="s">
        <v>77</v>
      </c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</row>
    <row r="10" spans="1:18" ht="14.55" customHeight="1" x14ac:dyDescent="0.3">
      <c r="B10" s="340" t="s">
        <v>78</v>
      </c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158">
        <f>SUM(P11:P14)</f>
        <v>1528359341.8978114</v>
      </c>
    </row>
    <row r="11" spans="1:18" x14ac:dyDescent="0.3">
      <c r="B11" s="48"/>
      <c r="P11" s="158">
        <f>7500000*141</f>
        <v>1057500000</v>
      </c>
    </row>
    <row r="12" spans="1:18" ht="19.05" customHeight="1" x14ac:dyDescent="0.3">
      <c r="B12" s="350" t="s">
        <v>46</v>
      </c>
      <c r="C12" s="344" t="s">
        <v>79</v>
      </c>
      <c r="D12" s="345"/>
      <c r="E12" s="346"/>
      <c r="F12" s="354" t="s">
        <v>55</v>
      </c>
      <c r="G12" s="355"/>
      <c r="H12" s="355"/>
      <c r="I12" s="135" t="s">
        <v>57</v>
      </c>
      <c r="J12" s="354" t="s">
        <v>80</v>
      </c>
      <c r="K12" s="355"/>
      <c r="L12" s="134" t="s">
        <v>61</v>
      </c>
      <c r="M12" s="356" t="s">
        <v>63</v>
      </c>
      <c r="N12" s="356"/>
      <c r="O12" s="352" t="s">
        <v>81</v>
      </c>
      <c r="P12" s="58">
        <f>3000*N20</f>
        <v>93585433.526011556</v>
      </c>
    </row>
    <row r="13" spans="1:18" ht="19.05" customHeight="1" x14ac:dyDescent="0.3">
      <c r="B13" s="351"/>
      <c r="C13" s="347"/>
      <c r="D13" s="348"/>
      <c r="E13" s="349"/>
      <c r="F13" s="133" t="s">
        <v>82</v>
      </c>
      <c r="G13" s="133" t="s">
        <v>83</v>
      </c>
      <c r="H13" s="132" t="s">
        <v>84</v>
      </c>
      <c r="I13" s="133" t="s">
        <v>84</v>
      </c>
      <c r="J13" s="133" t="s">
        <v>83</v>
      </c>
      <c r="K13" s="132" t="s">
        <v>84</v>
      </c>
      <c r="L13" s="132" t="s">
        <v>84</v>
      </c>
      <c r="M13" s="137" t="s">
        <v>83</v>
      </c>
      <c r="N13" s="137" t="s">
        <v>84</v>
      </c>
      <c r="O13" s="353"/>
      <c r="P13" s="158">
        <f>1500000*141</f>
        <v>211500000</v>
      </c>
    </row>
    <row r="14" spans="1:18" x14ac:dyDescent="0.3">
      <c r="B14" s="49" t="s">
        <v>85</v>
      </c>
      <c r="C14" s="50" t="s">
        <v>86</v>
      </c>
      <c r="D14" s="51"/>
      <c r="E14" s="51"/>
      <c r="F14" s="52">
        <f>SUM(F15:F18)</f>
        <v>6848848.2240000004</v>
      </c>
      <c r="G14" s="52">
        <f t="shared" ref="G14" si="0">SUM(G15:G18)</f>
        <v>6848848.2240000004</v>
      </c>
      <c r="H14" s="52">
        <f t="shared" ref="H14:N14" si="1">SUM(H15:H18)</f>
        <v>6848848.2240000004</v>
      </c>
      <c r="I14" s="52">
        <f t="shared" si="1"/>
        <v>6848848.2240000004</v>
      </c>
      <c r="J14" s="52">
        <f t="shared" si="1"/>
        <v>6848848.2240000004</v>
      </c>
      <c r="K14" s="52">
        <f t="shared" si="1"/>
        <v>6848848.2240000004</v>
      </c>
      <c r="L14" s="52">
        <f t="shared" si="1"/>
        <v>6848848.2240000004</v>
      </c>
      <c r="M14" s="138">
        <f t="shared" si="1"/>
        <v>6848848.2240000004</v>
      </c>
      <c r="N14" s="138">
        <f t="shared" si="1"/>
        <v>6848848.2240000004</v>
      </c>
      <c r="O14" s="136"/>
      <c r="P14" s="46">
        <v>165773908.37180001</v>
      </c>
      <c r="Q14"/>
      <c r="R14"/>
    </row>
    <row r="15" spans="1:18" x14ac:dyDescent="0.3">
      <c r="A15" s="139" t="s">
        <v>87</v>
      </c>
      <c r="B15" s="53">
        <v>1</v>
      </c>
      <c r="C15" s="54" t="s">
        <v>88</v>
      </c>
      <c r="D15" s="55"/>
      <c r="E15" s="124"/>
      <c r="F15" s="125">
        <f>5396760</f>
        <v>5396760</v>
      </c>
      <c r="G15" s="125">
        <f t="shared" ref="G15:N15" si="2">5396760</f>
        <v>5396760</v>
      </c>
      <c r="H15" s="125">
        <f t="shared" si="2"/>
        <v>5396760</v>
      </c>
      <c r="I15" s="125">
        <f t="shared" si="2"/>
        <v>5396760</v>
      </c>
      <c r="J15" s="125">
        <f t="shared" si="2"/>
        <v>5396760</v>
      </c>
      <c r="K15" s="125">
        <f t="shared" si="2"/>
        <v>5396760</v>
      </c>
      <c r="L15" s="125">
        <f t="shared" si="2"/>
        <v>5396760</v>
      </c>
      <c r="M15" s="125">
        <f t="shared" si="2"/>
        <v>5396760</v>
      </c>
      <c r="N15" s="125">
        <f t="shared" si="2"/>
        <v>5396760</v>
      </c>
      <c r="O15" s="126" t="s">
        <v>89</v>
      </c>
      <c r="P15" s="127">
        <v>5067381</v>
      </c>
      <c r="Q15" s="128">
        <v>5396760</v>
      </c>
      <c r="R15" s="129"/>
    </row>
    <row r="16" spans="1:18" x14ac:dyDescent="0.3">
      <c r="A16" s="139" t="s">
        <v>87</v>
      </c>
      <c r="B16" s="53">
        <v>2</v>
      </c>
      <c r="C16" s="54" t="s">
        <v>90</v>
      </c>
      <c r="D16" s="55"/>
      <c r="E16" s="124">
        <v>0.1024</v>
      </c>
      <c r="F16" s="130">
        <f t="shared" ref="F16:L16" si="3">F15*$E$16</f>
        <v>552628.22400000005</v>
      </c>
      <c r="G16" s="130">
        <f t="shared" si="3"/>
        <v>552628.22400000005</v>
      </c>
      <c r="H16" s="130">
        <f t="shared" si="3"/>
        <v>552628.22400000005</v>
      </c>
      <c r="I16" s="130">
        <f t="shared" si="3"/>
        <v>552628.22400000005</v>
      </c>
      <c r="J16" s="130">
        <f t="shared" si="3"/>
        <v>552628.22400000005</v>
      </c>
      <c r="K16" s="130">
        <f t="shared" si="3"/>
        <v>552628.22400000005</v>
      </c>
      <c r="L16" s="130">
        <f t="shared" si="3"/>
        <v>552628.22400000005</v>
      </c>
      <c r="M16" s="130">
        <f t="shared" ref="M16:N16" si="4">M15*$E$16</f>
        <v>552628.22400000005</v>
      </c>
      <c r="N16" s="130">
        <f t="shared" si="4"/>
        <v>552628.22400000005</v>
      </c>
      <c r="O16" s="126" t="s">
        <v>91</v>
      </c>
      <c r="Q16"/>
      <c r="R16"/>
    </row>
    <row r="17" spans="1:20" x14ac:dyDescent="0.3">
      <c r="A17" s="139" t="s">
        <v>87</v>
      </c>
      <c r="B17" s="53">
        <v>3</v>
      </c>
      <c r="C17" s="54" t="s">
        <v>92</v>
      </c>
      <c r="D17" s="55"/>
      <c r="E17" s="124"/>
      <c r="F17" s="130">
        <f>F15/12</f>
        <v>449730</v>
      </c>
      <c r="G17" s="130">
        <f t="shared" ref="G17:N17" si="5">G15/12</f>
        <v>449730</v>
      </c>
      <c r="H17" s="130">
        <f t="shared" si="5"/>
        <v>449730</v>
      </c>
      <c r="I17" s="130">
        <f t="shared" si="5"/>
        <v>449730</v>
      </c>
      <c r="J17" s="130">
        <f t="shared" si="5"/>
        <v>449730</v>
      </c>
      <c r="K17" s="130">
        <f t="shared" si="5"/>
        <v>449730</v>
      </c>
      <c r="L17" s="130">
        <f t="shared" si="5"/>
        <v>449730</v>
      </c>
      <c r="M17" s="130">
        <f t="shared" si="5"/>
        <v>449730</v>
      </c>
      <c r="N17" s="130">
        <f t="shared" si="5"/>
        <v>449730</v>
      </c>
      <c r="O17" s="126" t="s">
        <v>93</v>
      </c>
      <c r="Q17"/>
      <c r="R17"/>
      <c r="S17" s="58"/>
      <c r="T17" s="58"/>
    </row>
    <row r="18" spans="1:20" x14ac:dyDescent="0.3">
      <c r="A18" s="140" t="s">
        <v>87</v>
      </c>
      <c r="B18" s="53">
        <v>4</v>
      </c>
      <c r="C18" s="54" t="s">
        <v>94</v>
      </c>
      <c r="D18" s="55"/>
      <c r="E18" s="59"/>
      <c r="F18" s="130">
        <f>F15/12</f>
        <v>449730</v>
      </c>
      <c r="G18" s="130">
        <f t="shared" ref="G18:N18" si="6">G15/12</f>
        <v>449730</v>
      </c>
      <c r="H18" s="130">
        <f t="shared" si="6"/>
        <v>449730</v>
      </c>
      <c r="I18" s="130">
        <f t="shared" si="6"/>
        <v>449730</v>
      </c>
      <c r="J18" s="130">
        <f t="shared" si="6"/>
        <v>449730</v>
      </c>
      <c r="K18" s="130">
        <f t="shared" si="6"/>
        <v>449730</v>
      </c>
      <c r="L18" s="130">
        <f t="shared" si="6"/>
        <v>449730</v>
      </c>
      <c r="M18" s="130">
        <f t="shared" si="6"/>
        <v>449730</v>
      </c>
      <c r="N18" s="130">
        <f t="shared" si="6"/>
        <v>449730</v>
      </c>
      <c r="O18" s="126" t="s">
        <v>93</v>
      </c>
      <c r="Q18"/>
      <c r="R18"/>
    </row>
    <row r="19" spans="1:20" x14ac:dyDescent="0.3">
      <c r="A19" s="140"/>
      <c r="B19" s="159" t="s">
        <v>95</v>
      </c>
      <c r="C19" s="160" t="s">
        <v>96</v>
      </c>
      <c r="D19" s="161"/>
      <c r="E19" s="60"/>
      <c r="F19" s="61">
        <f>F22</f>
        <v>0</v>
      </c>
      <c r="G19" s="61">
        <f t="shared" ref="G19" si="7">G22</f>
        <v>0</v>
      </c>
      <c r="H19" s="61">
        <f t="shared" ref="H19:N19" si="8">H22</f>
        <v>0</v>
      </c>
      <c r="I19" s="61">
        <f t="shared" si="8"/>
        <v>0</v>
      </c>
      <c r="J19" s="61">
        <f t="shared" si="8"/>
        <v>0</v>
      </c>
      <c r="K19" s="61">
        <f t="shared" si="8"/>
        <v>0</v>
      </c>
      <c r="L19" s="61">
        <f t="shared" si="8"/>
        <v>0</v>
      </c>
      <c r="M19" s="61">
        <f t="shared" si="8"/>
        <v>0</v>
      </c>
      <c r="N19" s="61">
        <f t="shared" si="8"/>
        <v>0</v>
      </c>
      <c r="O19" s="162"/>
      <c r="Q19"/>
      <c r="R19"/>
    </row>
    <row r="20" spans="1:20" s="122" customFormat="1" x14ac:dyDescent="0.3">
      <c r="A20" s="139" t="s">
        <v>97</v>
      </c>
      <c r="B20" s="116">
        <v>1</v>
      </c>
      <c r="C20" s="117" t="s">
        <v>98</v>
      </c>
      <c r="D20" s="118"/>
      <c r="E20" s="119"/>
      <c r="F20" s="120">
        <f>SUM(F15/173)</f>
        <v>31195.144508670521</v>
      </c>
      <c r="G20" s="120">
        <f t="shared" ref="G20" si="9">SUM(G15/173)</f>
        <v>31195.144508670521</v>
      </c>
      <c r="H20" s="120">
        <f t="shared" ref="H20:N20" si="10">SUM(H15/173)</f>
        <v>31195.144508670521</v>
      </c>
      <c r="I20" s="120">
        <f t="shared" si="10"/>
        <v>31195.144508670521</v>
      </c>
      <c r="J20" s="120">
        <f t="shared" si="10"/>
        <v>31195.144508670521</v>
      </c>
      <c r="K20" s="121">
        <f t="shared" si="10"/>
        <v>31195.144508670521</v>
      </c>
      <c r="L20" s="121">
        <f t="shared" si="10"/>
        <v>31195.144508670521</v>
      </c>
      <c r="M20" s="120">
        <f t="shared" si="10"/>
        <v>31195.144508670521</v>
      </c>
      <c r="N20" s="121">
        <f t="shared" si="10"/>
        <v>31195.144508670521</v>
      </c>
      <c r="O20" s="156" t="s">
        <v>99</v>
      </c>
      <c r="Q20" s="123"/>
      <c r="R20" s="123"/>
    </row>
    <row r="21" spans="1:20" s="122" customFormat="1" x14ac:dyDescent="0.3">
      <c r="A21" s="139" t="s">
        <v>97</v>
      </c>
      <c r="B21" s="116">
        <v>2</v>
      </c>
      <c r="C21" s="117" t="s">
        <v>100</v>
      </c>
      <c r="D21" s="118"/>
      <c r="E21" s="119"/>
      <c r="F21" s="120">
        <v>0</v>
      </c>
      <c r="G21" s="120">
        <v>0</v>
      </c>
      <c r="H21" s="120">
        <v>0</v>
      </c>
      <c r="I21" s="120">
        <v>0</v>
      </c>
      <c r="J21" s="120">
        <v>0</v>
      </c>
      <c r="K21" s="120">
        <v>0</v>
      </c>
      <c r="L21" s="120">
        <v>0</v>
      </c>
      <c r="M21" s="120">
        <v>0</v>
      </c>
      <c r="N21" s="121">
        <v>0</v>
      </c>
      <c r="O21" s="155" t="s">
        <v>101</v>
      </c>
      <c r="Q21" s="123"/>
      <c r="R21" s="123"/>
    </row>
    <row r="22" spans="1:20" s="122" customFormat="1" ht="14.55" customHeight="1" x14ac:dyDescent="0.3">
      <c r="A22" s="139" t="s">
        <v>97</v>
      </c>
      <c r="B22" s="116">
        <v>3</v>
      </c>
      <c r="C22" s="117" t="s">
        <v>102</v>
      </c>
      <c r="D22" s="118"/>
      <c r="E22" s="119"/>
      <c r="F22" s="120">
        <f>F20*F21</f>
        <v>0</v>
      </c>
      <c r="G22" s="120">
        <f t="shared" ref="G22" si="11">G20*G21</f>
        <v>0</v>
      </c>
      <c r="H22" s="120">
        <f t="shared" ref="H22:N22" si="12">H20*H21</f>
        <v>0</v>
      </c>
      <c r="I22" s="120">
        <f t="shared" si="12"/>
        <v>0</v>
      </c>
      <c r="J22" s="120">
        <f t="shared" si="12"/>
        <v>0</v>
      </c>
      <c r="K22" s="121">
        <f t="shared" si="12"/>
        <v>0</v>
      </c>
      <c r="L22" s="121">
        <f t="shared" si="12"/>
        <v>0</v>
      </c>
      <c r="M22" s="120">
        <f t="shared" si="12"/>
        <v>0</v>
      </c>
      <c r="N22" s="121">
        <f t="shared" si="12"/>
        <v>0</v>
      </c>
      <c r="O22" s="155" t="s">
        <v>103</v>
      </c>
      <c r="P22" s="113">
        <f>SUM(P17:P21)</f>
        <v>0</v>
      </c>
      <c r="Q22" s="123"/>
      <c r="R22" s="123"/>
    </row>
    <row r="23" spans="1:20" x14ac:dyDescent="0.3">
      <c r="A23" s="140"/>
      <c r="B23" s="63" t="s">
        <v>104</v>
      </c>
      <c r="C23" s="64" t="s">
        <v>105</v>
      </c>
      <c r="D23" s="65"/>
      <c r="E23" s="60"/>
      <c r="F23" s="61">
        <f>SUM(F24:F31)</f>
        <v>2778333.3333333335</v>
      </c>
      <c r="G23" s="61">
        <f t="shared" ref="G23" si="13">SUM(G24:G31)</f>
        <v>1778333.3333333333</v>
      </c>
      <c r="H23" s="61">
        <f t="shared" ref="H23:N23" si="14">SUM(H24:H31)</f>
        <v>736666.66666666663</v>
      </c>
      <c r="I23" s="61">
        <f t="shared" si="14"/>
        <v>695000</v>
      </c>
      <c r="J23" s="61">
        <f t="shared" si="14"/>
        <v>1695000</v>
      </c>
      <c r="K23" s="61">
        <f t="shared" si="14"/>
        <v>695000</v>
      </c>
      <c r="L23" s="61">
        <f t="shared" si="14"/>
        <v>792222.22222222225</v>
      </c>
      <c r="M23" s="61">
        <f t="shared" si="14"/>
        <v>2570000</v>
      </c>
      <c r="N23" s="61">
        <f t="shared" si="14"/>
        <v>1472777.7777777778</v>
      </c>
      <c r="O23" s="157"/>
      <c r="P23" s="66"/>
      <c r="Q23"/>
      <c r="R23"/>
    </row>
    <row r="24" spans="1:20" ht="14.55" customHeight="1" x14ac:dyDescent="0.3">
      <c r="A24" s="140" t="s">
        <v>87</v>
      </c>
      <c r="B24" s="53">
        <v>1</v>
      </c>
      <c r="C24" s="54" t="s">
        <v>106</v>
      </c>
      <c r="D24" s="55"/>
      <c r="E24" s="59"/>
      <c r="F24" s="125">
        <v>60000</v>
      </c>
      <c r="G24" s="125">
        <v>60000</v>
      </c>
      <c r="H24" s="125">
        <v>60000</v>
      </c>
      <c r="I24" s="125">
        <v>60000</v>
      </c>
      <c r="J24" s="125">
        <v>60000</v>
      </c>
      <c r="K24" s="125">
        <v>60000</v>
      </c>
      <c r="L24" s="125">
        <v>60000</v>
      </c>
      <c r="M24" s="125">
        <v>60000</v>
      </c>
      <c r="N24" s="125">
        <v>60000</v>
      </c>
      <c r="O24" s="67" t="s">
        <v>107</v>
      </c>
      <c r="P24" s="131">
        <f>682000/12</f>
        <v>56833.333333333336</v>
      </c>
      <c r="Q24"/>
      <c r="R24"/>
    </row>
    <row r="25" spans="1:20" x14ac:dyDescent="0.3">
      <c r="A25" s="140" t="s">
        <v>108</v>
      </c>
      <c r="B25" s="27">
        <v>2</v>
      </c>
      <c r="C25" s="54" t="s">
        <v>109</v>
      </c>
      <c r="D25" s="55"/>
      <c r="E25" s="59"/>
      <c r="F25" s="125">
        <v>135000</v>
      </c>
      <c r="G25" s="125">
        <v>135000</v>
      </c>
      <c r="H25" s="125">
        <v>135000</v>
      </c>
      <c r="I25" s="125">
        <v>135000</v>
      </c>
      <c r="J25" s="125">
        <v>135000</v>
      </c>
      <c r="K25" s="125">
        <v>135000</v>
      </c>
      <c r="L25" s="125">
        <v>135000</v>
      </c>
      <c r="M25" s="125">
        <v>135000</v>
      </c>
      <c r="N25" s="125">
        <v>135000</v>
      </c>
      <c r="O25" s="67" t="s">
        <v>110</v>
      </c>
      <c r="P25" s="68" t="s">
        <v>111</v>
      </c>
      <c r="Q25" s="69">
        <v>110000</v>
      </c>
      <c r="R25" s="70">
        <f>Q25*3</f>
        <v>330000</v>
      </c>
    </row>
    <row r="26" spans="1:20" x14ac:dyDescent="0.3">
      <c r="A26" s="140" t="s">
        <v>97</v>
      </c>
      <c r="B26" s="53">
        <v>3</v>
      </c>
      <c r="C26" s="54" t="s">
        <v>112</v>
      </c>
      <c r="D26" s="55"/>
      <c r="E26" s="59"/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67" t="s">
        <v>103</v>
      </c>
      <c r="P26" s="46" t="s">
        <v>113</v>
      </c>
      <c r="Q26" s="69">
        <v>130000</v>
      </c>
      <c r="R26" s="70">
        <f>Q26*3</f>
        <v>390000</v>
      </c>
    </row>
    <row r="27" spans="1:20" x14ac:dyDescent="0.3">
      <c r="A27" s="140" t="s">
        <v>87</v>
      </c>
      <c r="B27" s="27">
        <v>4</v>
      </c>
      <c r="C27" s="54" t="s">
        <v>114</v>
      </c>
      <c r="D27" s="55"/>
      <c r="E27" s="59"/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67" t="s">
        <v>115</v>
      </c>
      <c r="P27" s="46" t="s">
        <v>116</v>
      </c>
      <c r="Q27" s="69">
        <v>95000</v>
      </c>
      <c r="R27" s="70">
        <f>Q27*1</f>
        <v>95000</v>
      </c>
    </row>
    <row r="28" spans="1:20" s="77" customFormat="1" ht="14.55" customHeight="1" x14ac:dyDescent="0.3">
      <c r="A28" s="141" t="s">
        <v>87</v>
      </c>
      <c r="B28" s="71">
        <v>5</v>
      </c>
      <c r="C28" s="72" t="s">
        <v>117</v>
      </c>
      <c r="D28" s="73"/>
      <c r="E28" s="74"/>
      <c r="F28" s="75">
        <f>3000000/36</f>
        <v>83333.333333333328</v>
      </c>
      <c r="G28" s="75">
        <f>3000000/36</f>
        <v>83333.333333333328</v>
      </c>
      <c r="H28" s="75">
        <f>1500000/36</f>
        <v>41666.666666666664</v>
      </c>
      <c r="I28" s="75">
        <v>0</v>
      </c>
      <c r="J28" s="75">
        <v>0</v>
      </c>
      <c r="K28" s="75">
        <v>0</v>
      </c>
      <c r="L28" s="75">
        <f>3500000/36</f>
        <v>97222.222222222219</v>
      </c>
      <c r="M28" s="75">
        <f>(9000000+4500000)/36</f>
        <v>375000</v>
      </c>
      <c r="N28" s="75">
        <f>(5500000+4500000)/36</f>
        <v>277777.77777777775</v>
      </c>
      <c r="O28" s="76"/>
      <c r="P28" s="77" t="s">
        <v>118</v>
      </c>
      <c r="Q28" s="78">
        <v>20000</v>
      </c>
      <c r="R28" s="79">
        <f>Q28</f>
        <v>20000</v>
      </c>
      <c r="S28" s="80"/>
    </row>
    <row r="29" spans="1:20" x14ac:dyDescent="0.3">
      <c r="A29" s="140" t="s">
        <v>97</v>
      </c>
      <c r="B29" s="27">
        <v>6</v>
      </c>
      <c r="C29" s="54" t="s">
        <v>119</v>
      </c>
      <c r="D29" s="55"/>
      <c r="E29" s="59"/>
      <c r="F29" s="81">
        <v>0</v>
      </c>
      <c r="G29" s="81">
        <v>0</v>
      </c>
      <c r="H29" s="81">
        <v>0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67" t="s">
        <v>103</v>
      </c>
      <c r="P29" s="46" t="s">
        <v>120</v>
      </c>
      <c r="Q29">
        <v>150000</v>
      </c>
      <c r="R29">
        <f>Q29</f>
        <v>150000</v>
      </c>
    </row>
    <row r="30" spans="1:20" x14ac:dyDescent="0.3">
      <c r="A30" s="140" t="s">
        <v>87</v>
      </c>
      <c r="B30" s="53">
        <v>7</v>
      </c>
      <c r="C30" s="54" t="s">
        <v>121</v>
      </c>
      <c r="D30" s="55"/>
      <c r="E30" s="59"/>
      <c r="F30" s="62">
        <v>2000000</v>
      </c>
      <c r="G30" s="62">
        <v>1000000</v>
      </c>
      <c r="H30" s="62"/>
      <c r="I30" s="62"/>
      <c r="J30" s="62">
        <v>1000000</v>
      </c>
      <c r="K30" s="62"/>
      <c r="L30" s="83"/>
      <c r="M30" s="62">
        <f>1000000+500000</f>
        <v>1500000</v>
      </c>
      <c r="N30" s="62">
        <v>500000</v>
      </c>
      <c r="O30" s="67"/>
      <c r="Q30"/>
      <c r="R30" s="70">
        <f>SUM(R25:R29)</f>
        <v>985000</v>
      </c>
    </row>
    <row r="31" spans="1:20" x14ac:dyDescent="0.3">
      <c r="A31" s="140" t="s">
        <v>87</v>
      </c>
      <c r="B31" s="27">
        <v>8</v>
      </c>
      <c r="C31" s="54" t="s">
        <v>122</v>
      </c>
      <c r="D31" s="55"/>
      <c r="E31" s="59"/>
      <c r="F31" s="56">
        <f t="shared" ref="F31:N31" si="15">SUM(F32:F35)</f>
        <v>500000</v>
      </c>
      <c r="G31" s="56">
        <f t="shared" ref="G31" si="16">SUM(G32:G35)</f>
        <v>500000</v>
      </c>
      <c r="H31" s="56">
        <f t="shared" si="15"/>
        <v>500000</v>
      </c>
      <c r="I31" s="56">
        <f t="shared" si="15"/>
        <v>500000</v>
      </c>
      <c r="J31" s="56">
        <f t="shared" si="15"/>
        <v>500000</v>
      </c>
      <c r="K31" s="56">
        <f t="shared" si="15"/>
        <v>500000</v>
      </c>
      <c r="L31" s="56">
        <f>SUM(L32:L35)</f>
        <v>500000</v>
      </c>
      <c r="M31" s="56">
        <f t="shared" si="15"/>
        <v>500000</v>
      </c>
      <c r="N31" s="56">
        <f t="shared" si="15"/>
        <v>500000</v>
      </c>
      <c r="O31" s="67"/>
      <c r="P31" s="68"/>
      <c r="Q31" s="58"/>
      <c r="R31" s="84"/>
    </row>
    <row r="32" spans="1:20" hidden="1" x14ac:dyDescent="0.3">
      <c r="B32" s="26"/>
      <c r="C32" s="14" t="s">
        <v>123</v>
      </c>
      <c r="D32" s="1"/>
      <c r="E32" s="2"/>
      <c r="F32" s="20">
        <v>155000</v>
      </c>
      <c r="G32" s="20">
        <v>155000</v>
      </c>
      <c r="H32" s="20">
        <v>155000</v>
      </c>
      <c r="I32" s="20">
        <v>155000</v>
      </c>
      <c r="J32" s="20">
        <v>155000</v>
      </c>
      <c r="K32" s="20">
        <v>155000</v>
      </c>
      <c r="L32" s="20">
        <v>155000</v>
      </c>
      <c r="M32" s="20">
        <v>155000</v>
      </c>
      <c r="N32" s="20">
        <v>155000</v>
      </c>
      <c r="O32" s="82"/>
      <c r="P32" s="85"/>
      <c r="Q32" s="58"/>
      <c r="R32" s="84"/>
    </row>
    <row r="33" spans="2:18" hidden="1" x14ac:dyDescent="0.3">
      <c r="B33" s="26"/>
      <c r="C33" s="14" t="s">
        <v>124</v>
      </c>
      <c r="D33" s="1"/>
      <c r="E33" s="2"/>
      <c r="F33" s="20">
        <v>50000</v>
      </c>
      <c r="G33" s="20">
        <v>50000</v>
      </c>
      <c r="H33" s="20">
        <v>50000</v>
      </c>
      <c r="I33" s="20">
        <v>50000</v>
      </c>
      <c r="J33" s="20">
        <v>50000</v>
      </c>
      <c r="K33" s="20">
        <v>50000</v>
      </c>
      <c r="L33" s="20">
        <v>50000</v>
      </c>
      <c r="M33" s="20">
        <v>50000</v>
      </c>
      <c r="N33" s="20">
        <v>50000</v>
      </c>
      <c r="O33" s="82"/>
      <c r="P33" s="85"/>
      <c r="Q33" s="58"/>
      <c r="R33" s="84"/>
    </row>
    <row r="34" spans="2:18" hidden="1" x14ac:dyDescent="0.3">
      <c r="B34" s="26"/>
      <c r="C34" s="14" t="s">
        <v>125</v>
      </c>
      <c r="D34" s="1"/>
      <c r="E34" s="2"/>
      <c r="F34" s="20">
        <v>45000</v>
      </c>
      <c r="G34" s="20">
        <v>45000</v>
      </c>
      <c r="H34" s="20">
        <v>45000</v>
      </c>
      <c r="I34" s="20">
        <v>45000</v>
      </c>
      <c r="J34" s="20">
        <v>45000</v>
      </c>
      <c r="K34" s="20">
        <v>45000</v>
      </c>
      <c r="L34" s="20">
        <v>45000</v>
      </c>
      <c r="M34" s="20">
        <v>45000</v>
      </c>
      <c r="N34" s="20">
        <v>45000</v>
      </c>
      <c r="O34" s="82"/>
      <c r="P34" s="85"/>
      <c r="Q34" s="58"/>
      <c r="R34" s="84"/>
    </row>
    <row r="35" spans="2:18" hidden="1" x14ac:dyDescent="0.3">
      <c r="B35" s="26"/>
      <c r="C35" s="14" t="s">
        <v>126</v>
      </c>
      <c r="D35" s="1"/>
      <c r="E35" s="2"/>
      <c r="F35" s="20">
        <v>250000</v>
      </c>
      <c r="G35" s="20">
        <v>250000</v>
      </c>
      <c r="H35" s="20">
        <v>250000</v>
      </c>
      <c r="I35" s="20">
        <v>250000</v>
      </c>
      <c r="J35" s="20">
        <v>250000</v>
      </c>
      <c r="K35" s="20">
        <v>250000</v>
      </c>
      <c r="L35" s="20">
        <v>250000</v>
      </c>
      <c r="M35" s="20">
        <v>250000</v>
      </c>
      <c r="N35" s="20">
        <v>250000</v>
      </c>
      <c r="O35" s="82"/>
      <c r="P35" s="85"/>
      <c r="Q35" s="58"/>
      <c r="R35" s="84"/>
    </row>
    <row r="36" spans="2:18" x14ac:dyDescent="0.3">
      <c r="B36" s="86"/>
      <c r="C36" s="87" t="s">
        <v>127</v>
      </c>
      <c r="D36" s="34"/>
      <c r="E36" s="88"/>
      <c r="F36" s="89">
        <f t="shared" ref="F36:N36" si="17">F14+F19+F23</f>
        <v>9627181.5573333334</v>
      </c>
      <c r="G36" s="89">
        <f t="shared" ref="G36" si="18">G14+G19+G23</f>
        <v>8627181.5573333334</v>
      </c>
      <c r="H36" s="89">
        <f t="shared" si="17"/>
        <v>7585514.8906666674</v>
      </c>
      <c r="I36" s="89">
        <f t="shared" si="17"/>
        <v>7543848.2240000004</v>
      </c>
      <c r="J36" s="89">
        <f t="shared" si="17"/>
        <v>8543848.2239999995</v>
      </c>
      <c r="K36" s="89">
        <f t="shared" si="17"/>
        <v>7543848.2240000004</v>
      </c>
      <c r="L36" s="89">
        <f t="shared" si="17"/>
        <v>7641070.4462222224</v>
      </c>
      <c r="M36" s="89">
        <f t="shared" si="17"/>
        <v>9418848.2239999995</v>
      </c>
      <c r="N36" s="89">
        <f t="shared" si="17"/>
        <v>8321626.0017777784</v>
      </c>
      <c r="O36" s="90"/>
    </row>
    <row r="37" spans="2:18" x14ac:dyDescent="0.3">
      <c r="B37" s="91"/>
      <c r="C37" s="92" t="s">
        <v>128</v>
      </c>
      <c r="D37" s="93"/>
      <c r="E37" s="94">
        <v>7.0000000000000007E-2</v>
      </c>
      <c r="F37" s="57">
        <f>F36*$E$37</f>
        <v>673902.70901333343</v>
      </c>
      <c r="G37" s="57">
        <f t="shared" ref="G37:N37" si="19">G36*$E$37</f>
        <v>603902.70901333343</v>
      </c>
      <c r="H37" s="57">
        <f t="shared" si="19"/>
        <v>530986.0423466668</v>
      </c>
      <c r="I37" s="57">
        <f t="shared" si="19"/>
        <v>528069.37568000006</v>
      </c>
      <c r="J37" s="57">
        <f t="shared" si="19"/>
        <v>598069.37568000006</v>
      </c>
      <c r="K37" s="57">
        <f t="shared" si="19"/>
        <v>528069.37568000006</v>
      </c>
      <c r="L37" s="57">
        <f t="shared" si="19"/>
        <v>534874.93123555568</v>
      </c>
      <c r="M37" s="57">
        <f t="shared" si="19"/>
        <v>659319.37568000006</v>
      </c>
      <c r="N37" s="57">
        <f t="shared" si="19"/>
        <v>582513.82012444455</v>
      </c>
      <c r="O37" s="67" t="s">
        <v>591</v>
      </c>
    </row>
    <row r="38" spans="2:18" x14ac:dyDescent="0.3">
      <c r="B38" s="95"/>
      <c r="C38" s="87" t="s">
        <v>129</v>
      </c>
      <c r="D38" s="60"/>
      <c r="E38" s="96"/>
      <c r="F38" s="61">
        <f t="shared" ref="F38:N38" si="20">F36+F37</f>
        <v>10301084.266346667</v>
      </c>
      <c r="G38" s="61">
        <f t="shared" si="20"/>
        <v>9231084.266346667</v>
      </c>
      <c r="H38" s="61">
        <f t="shared" si="20"/>
        <v>8116500.9330133339</v>
      </c>
      <c r="I38" s="61">
        <f t="shared" si="20"/>
        <v>8071917.5996800009</v>
      </c>
      <c r="J38" s="61">
        <f t="shared" si="20"/>
        <v>9141917.5996799991</v>
      </c>
      <c r="K38" s="61">
        <f t="shared" si="20"/>
        <v>8071917.5996800009</v>
      </c>
      <c r="L38" s="61">
        <f t="shared" si="20"/>
        <v>8175945.377457778</v>
      </c>
      <c r="M38" s="61">
        <f t="shared" si="20"/>
        <v>10078167.599679999</v>
      </c>
      <c r="N38" s="61">
        <f t="shared" si="20"/>
        <v>8904139.8219022229</v>
      </c>
      <c r="O38" s="97"/>
    </row>
    <row r="39" spans="2:18" x14ac:dyDescent="0.3">
      <c r="B39" s="95"/>
      <c r="C39" s="64" t="s">
        <v>66</v>
      </c>
      <c r="D39" s="88"/>
      <c r="E39" s="88"/>
      <c r="F39" s="98">
        <f t="shared" ref="F39:N39" si="21">ROUNDUP(F38,-2)</f>
        <v>10301100</v>
      </c>
      <c r="G39" s="98">
        <f t="shared" ref="G39" si="22">ROUNDUP(G38,-2)</f>
        <v>9231100</v>
      </c>
      <c r="H39" s="98">
        <f t="shared" si="21"/>
        <v>8116600</v>
      </c>
      <c r="I39" s="98">
        <f t="shared" si="21"/>
        <v>8072000</v>
      </c>
      <c r="J39" s="98">
        <f t="shared" si="21"/>
        <v>9142000</v>
      </c>
      <c r="K39" s="98">
        <f t="shared" si="21"/>
        <v>8072000</v>
      </c>
      <c r="L39" s="98">
        <f t="shared" si="21"/>
        <v>8176000</v>
      </c>
      <c r="M39" s="98">
        <f t="shared" si="21"/>
        <v>10078200</v>
      </c>
      <c r="N39" s="98">
        <f t="shared" si="21"/>
        <v>8904200</v>
      </c>
      <c r="O39" s="90"/>
    </row>
    <row r="40" spans="2:18" x14ac:dyDescent="0.3">
      <c r="B40" s="99"/>
      <c r="C40" s="100"/>
      <c r="D40" s="99"/>
      <c r="E40" s="99"/>
      <c r="F40" s="101"/>
      <c r="G40" s="101"/>
      <c r="H40" s="101"/>
      <c r="I40" s="101"/>
      <c r="J40" s="101"/>
      <c r="K40" s="101"/>
      <c r="L40" s="101"/>
      <c r="M40" s="101"/>
      <c r="N40" s="101"/>
      <c r="O40" s="99"/>
    </row>
    <row r="41" spans="2:18" x14ac:dyDescent="0.3">
      <c r="B41" s="102"/>
      <c r="C41" s="342" t="s">
        <v>130</v>
      </c>
      <c r="D41" s="343"/>
      <c r="E41" s="343"/>
      <c r="F41" s="103">
        <v>2</v>
      </c>
      <c r="G41" s="103">
        <v>6</v>
      </c>
      <c r="H41" s="103">
        <f>77+3+5</f>
        <v>85</v>
      </c>
      <c r="I41" s="103">
        <v>15</v>
      </c>
      <c r="J41" s="103">
        <v>1</v>
      </c>
      <c r="K41" s="103">
        <v>32</v>
      </c>
      <c r="L41" s="103">
        <v>4</v>
      </c>
      <c r="M41" s="103">
        <v>1</v>
      </c>
      <c r="N41" s="103">
        <v>8</v>
      </c>
      <c r="O41" s="104">
        <f>SUM(F41:N41)</f>
        <v>154</v>
      </c>
    </row>
    <row r="42" spans="2:18" x14ac:dyDescent="0.3">
      <c r="B42" s="102"/>
      <c r="C42" s="342" t="s">
        <v>131</v>
      </c>
      <c r="D42" s="343"/>
      <c r="E42" s="343"/>
      <c r="F42" s="105">
        <f>F39*F41</f>
        <v>20602200</v>
      </c>
      <c r="G42" s="105">
        <f t="shared" ref="G42:N42" si="23">G39*G41</f>
        <v>55386600</v>
      </c>
      <c r="H42" s="105">
        <f t="shared" si="23"/>
        <v>689911000</v>
      </c>
      <c r="I42" s="105">
        <f t="shared" si="23"/>
        <v>121080000</v>
      </c>
      <c r="J42" s="105">
        <f t="shared" si="23"/>
        <v>9142000</v>
      </c>
      <c r="K42" s="105">
        <f t="shared" si="23"/>
        <v>258304000</v>
      </c>
      <c r="L42" s="105">
        <f t="shared" si="23"/>
        <v>32704000</v>
      </c>
      <c r="M42" s="105">
        <f>M39*M41</f>
        <v>10078200</v>
      </c>
      <c r="N42" s="105">
        <f t="shared" si="23"/>
        <v>71233600</v>
      </c>
      <c r="O42" s="104">
        <f>SUM(F42:N42)</f>
        <v>1268441600</v>
      </c>
      <c r="Q42" s="106"/>
    </row>
    <row r="43" spans="2:18" x14ac:dyDescent="0.3"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58"/>
      <c r="P43" s="58">
        <f>O42+'TOOLS RECAP'!G152+'TOOLS RECAP'!G171+'TOOLS RECAP'!G188+'TOOLS RECAP'!G219</f>
        <v>1429095098.23048</v>
      </c>
      <c r="Q43" s="106"/>
    </row>
    <row r="44" spans="2:18" x14ac:dyDescent="0.3">
      <c r="C44" s="107"/>
      <c r="D44" s="107"/>
      <c r="E44" s="107"/>
      <c r="F44" s="107"/>
      <c r="G44" s="107"/>
      <c r="H44" s="107">
        <v>73</v>
      </c>
      <c r="I44" s="107"/>
      <c r="J44" s="107"/>
      <c r="K44" s="107"/>
      <c r="L44" s="107"/>
      <c r="M44" s="107"/>
      <c r="N44" s="107"/>
      <c r="O44" s="58"/>
      <c r="Q44" s="106"/>
    </row>
    <row r="45" spans="2:18" x14ac:dyDescent="0.3">
      <c r="C45" s="107"/>
      <c r="D45" s="107"/>
      <c r="E45" s="107"/>
      <c r="F45" s="107"/>
      <c r="G45" s="107"/>
      <c r="H45" s="107">
        <f>H44+3</f>
        <v>76</v>
      </c>
      <c r="I45" s="107"/>
      <c r="J45" s="107"/>
      <c r="K45" s="107"/>
      <c r="L45" s="107"/>
      <c r="M45" s="107"/>
      <c r="N45" s="107"/>
      <c r="O45" s="58"/>
      <c r="Q45" s="106"/>
    </row>
    <row r="46" spans="2:18" x14ac:dyDescent="0.3">
      <c r="C46" s="108"/>
      <c r="H46" s="46">
        <f>H45+5</f>
        <v>81</v>
      </c>
      <c r="K46" s="115"/>
      <c r="Q46" s="106"/>
    </row>
    <row r="47" spans="2:18" ht="14.55" customHeight="1" x14ac:dyDescent="0.3">
      <c r="B47" s="341" t="s">
        <v>35</v>
      </c>
      <c r="C47" s="341"/>
      <c r="D47" s="341"/>
      <c r="E47" s="341"/>
      <c r="O47" s="22" t="s">
        <v>72</v>
      </c>
    </row>
    <row r="48" spans="2:18" ht="14.55" customHeight="1" x14ac:dyDescent="0.3">
      <c r="B48" s="340" t="str">
        <f>'Covering Letter '!B44</f>
        <v>PT Mitra Bakti UT</v>
      </c>
      <c r="C48" s="340"/>
      <c r="D48" s="340"/>
      <c r="E48" s="340"/>
      <c r="F48" s="48"/>
      <c r="G48" s="48"/>
      <c r="H48" s="48"/>
      <c r="I48" s="48"/>
      <c r="J48" s="48"/>
      <c r="K48" s="48"/>
      <c r="L48" s="48"/>
      <c r="M48" s="48"/>
      <c r="N48" s="48"/>
      <c r="O48" s="109" t="str">
        <f>'Covering Letter '!B10</f>
        <v>PT United Tractors Tbk</v>
      </c>
    </row>
    <row r="49" spans="2:20" x14ac:dyDescent="0.3">
      <c r="O49" s="22"/>
    </row>
    <row r="50" spans="2:20" x14ac:dyDescent="0.3">
      <c r="O50" s="22"/>
    </row>
    <row r="51" spans="2:20" x14ac:dyDescent="0.3">
      <c r="O51" s="22"/>
    </row>
    <row r="52" spans="2:20" x14ac:dyDescent="0.3">
      <c r="O52" s="22"/>
    </row>
    <row r="53" spans="2:20" x14ac:dyDescent="0.3">
      <c r="O53" s="22"/>
    </row>
    <row r="54" spans="2:20" ht="14.55" customHeight="1" x14ac:dyDescent="0.3">
      <c r="B54" s="357" t="str">
        <f>'Covering Letter '!B49</f>
        <v>Sandy Yudha S</v>
      </c>
      <c r="C54" s="357"/>
      <c r="D54" s="357"/>
      <c r="E54" s="357"/>
      <c r="O54" s="110" t="str">
        <f>RIGHT('Covering Letter '!D15,18)</f>
        <v>Sara Kirsti Loebis</v>
      </c>
    </row>
    <row r="55" spans="2:20" ht="14.55" customHeight="1" x14ac:dyDescent="0.3">
      <c r="B55" s="339" t="s">
        <v>38</v>
      </c>
      <c r="C55" s="339"/>
      <c r="D55" s="339"/>
      <c r="E55" s="339"/>
      <c r="O55" s="111" t="str">
        <f>'Covering Letter '!D16</f>
        <v>Corporate Governance &amp; Sustainability Division Head</v>
      </c>
    </row>
    <row r="57" spans="2:20" x14ac:dyDescent="0.3">
      <c r="E57" s="46" t="s">
        <v>71</v>
      </c>
      <c r="F57" s="58">
        <f>F31*F41</f>
        <v>1000000</v>
      </c>
      <c r="G57" s="58">
        <f t="shared" ref="G57:N57" si="24">G31*G41</f>
        <v>3000000</v>
      </c>
      <c r="H57" s="58">
        <f t="shared" si="24"/>
        <v>42500000</v>
      </c>
      <c r="I57" s="58">
        <f t="shared" si="24"/>
        <v>7500000</v>
      </c>
      <c r="J57" s="58">
        <f t="shared" si="24"/>
        <v>500000</v>
      </c>
      <c r="K57" s="58">
        <f t="shared" si="24"/>
        <v>16000000</v>
      </c>
      <c r="L57" s="58">
        <f t="shared" si="24"/>
        <v>2000000</v>
      </c>
      <c r="M57" s="58">
        <f t="shared" si="24"/>
        <v>500000</v>
      </c>
      <c r="N57" s="58">
        <f t="shared" si="24"/>
        <v>4000000</v>
      </c>
      <c r="O57" s="104">
        <f t="shared" ref="O57:O58" si="25">SUM(F57:N57)</f>
        <v>77000000</v>
      </c>
    </row>
    <row r="58" spans="2:20" x14ac:dyDescent="0.3">
      <c r="E58" s="46" t="s">
        <v>590</v>
      </c>
      <c r="F58" s="58">
        <f>F37*F41</f>
        <v>1347805.4180266669</v>
      </c>
      <c r="G58" s="58">
        <f t="shared" ref="G58:N58" si="26">G37*G41</f>
        <v>3623416.2540800003</v>
      </c>
      <c r="H58" s="58">
        <f t="shared" si="26"/>
        <v>45133813.599466681</v>
      </c>
      <c r="I58" s="58">
        <f t="shared" si="26"/>
        <v>7921040.6352000013</v>
      </c>
      <c r="J58" s="58">
        <f t="shared" si="26"/>
        <v>598069.37568000006</v>
      </c>
      <c r="K58" s="58">
        <f t="shared" si="26"/>
        <v>16898220.021760002</v>
      </c>
      <c r="L58" s="58">
        <f t="shared" si="26"/>
        <v>2139499.7249422227</v>
      </c>
      <c r="M58" s="58">
        <f t="shared" si="26"/>
        <v>659319.37568000006</v>
      </c>
      <c r="N58" s="58">
        <f t="shared" si="26"/>
        <v>4660110.5609955564</v>
      </c>
      <c r="O58" s="104">
        <f t="shared" si="25"/>
        <v>82981294.965831131</v>
      </c>
    </row>
    <row r="59" spans="2:20" x14ac:dyDescent="0.3">
      <c r="F59" s="58"/>
      <c r="G59" s="58"/>
      <c r="H59" s="58"/>
      <c r="I59" s="58"/>
      <c r="J59" s="58"/>
      <c r="K59" s="58"/>
      <c r="L59" s="58"/>
      <c r="M59" s="58"/>
      <c r="N59" s="58"/>
      <c r="O59" s="104">
        <f>SUM(O57:O58)</f>
        <v>159981294.96583113</v>
      </c>
    </row>
    <row r="60" spans="2:20" x14ac:dyDescent="0.3">
      <c r="F60" s="58"/>
      <c r="G60" s="58"/>
      <c r="H60" s="58"/>
      <c r="I60" s="58"/>
      <c r="J60" s="58"/>
      <c r="K60" s="58"/>
      <c r="L60" s="58"/>
      <c r="M60" s="58"/>
      <c r="N60" s="58"/>
      <c r="O60" s="104">
        <f>O42-O59</f>
        <v>1108460305.034169</v>
      </c>
      <c r="T60" s="293">
        <f>O59/O42</f>
        <v>0.12612428902192355</v>
      </c>
    </row>
    <row r="61" spans="2:20" x14ac:dyDescent="0.3">
      <c r="O61" s="58"/>
    </row>
    <row r="62" spans="2:20" x14ac:dyDescent="0.3">
      <c r="O62" s="246">
        <f>O61/O42</f>
        <v>0</v>
      </c>
    </row>
  </sheetData>
  <mergeCells count="15">
    <mergeCell ref="B55:E55"/>
    <mergeCell ref="B8:O8"/>
    <mergeCell ref="B9:O9"/>
    <mergeCell ref="B10:O10"/>
    <mergeCell ref="B47:E47"/>
    <mergeCell ref="C41:E41"/>
    <mergeCell ref="C42:E42"/>
    <mergeCell ref="C12:E13"/>
    <mergeCell ref="B12:B13"/>
    <mergeCell ref="O12:O13"/>
    <mergeCell ref="F12:H12"/>
    <mergeCell ref="J12:K12"/>
    <mergeCell ref="M12:N12"/>
    <mergeCell ref="B48:E48"/>
    <mergeCell ref="B54:E54"/>
  </mergeCells>
  <pageMargins left="0.7" right="0.7" top="0.75" bottom="0.75" header="0.3" footer="0.3"/>
  <pageSetup paperSize="9" scale="5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E5B8-8734-4758-B9DA-FFE88F30F261}">
  <dimension ref="B5:K219"/>
  <sheetViews>
    <sheetView showGridLines="0" view="pageBreakPreview" zoomScale="80" zoomScaleNormal="80" zoomScaleSheetLayoutView="80" workbookViewId="0">
      <selection activeCell="F137" sqref="F137"/>
    </sheetView>
  </sheetViews>
  <sheetFormatPr defaultColWidth="9.21875" defaultRowHeight="14.4" x14ac:dyDescent="0.3"/>
  <cols>
    <col min="1" max="1" width="6.44140625" style="199" bestFit="1" customWidth="1"/>
    <col min="2" max="2" width="6.5546875" style="199" customWidth="1"/>
    <col min="3" max="3" width="43.77734375" style="199" bestFit="1" customWidth="1"/>
    <col min="4" max="5" width="8.44140625" style="199" customWidth="1"/>
    <col min="6" max="6" width="15.77734375" style="199" customWidth="1"/>
    <col min="7" max="7" width="15.77734375" style="199" bestFit="1" customWidth="1"/>
    <col min="8" max="8" width="7.77734375" style="233" customWidth="1"/>
    <col min="9" max="9" width="36.44140625" style="6" customWidth="1"/>
    <col min="10" max="10" width="9.21875" style="199"/>
    <col min="11" max="11" width="15.44140625" style="199" bestFit="1" customWidth="1"/>
    <col min="12" max="248" width="9.21875" style="199"/>
    <col min="249" max="249" width="3.5546875" style="199" customWidth="1"/>
    <col min="250" max="250" width="6.5546875" style="199" customWidth="1"/>
    <col min="251" max="251" width="17.77734375" style="199" customWidth="1"/>
    <col min="252" max="252" width="4.5546875" style="199" customWidth="1"/>
    <col min="253" max="253" width="8.5546875" style="199" customWidth="1"/>
    <col min="254" max="254" width="22.21875" style="199" customWidth="1"/>
    <col min="255" max="255" width="45.5546875" style="199" customWidth="1"/>
    <col min="256" max="256" width="4.5546875" style="199" customWidth="1"/>
    <col min="257" max="257" width="46.5546875" style="199" bestFit="1" customWidth="1"/>
    <col min="258" max="258" width="13.77734375" style="199" bestFit="1" customWidth="1"/>
    <col min="259" max="260" width="10.5546875" style="199" bestFit="1" customWidth="1"/>
    <col min="261" max="504" width="9.21875" style="199"/>
    <col min="505" max="505" width="3.5546875" style="199" customWidth="1"/>
    <col min="506" max="506" width="6.5546875" style="199" customWidth="1"/>
    <col min="507" max="507" width="17.77734375" style="199" customWidth="1"/>
    <col min="508" max="508" width="4.5546875" style="199" customWidth="1"/>
    <col min="509" max="509" width="8.5546875" style="199" customWidth="1"/>
    <col min="510" max="510" width="22.21875" style="199" customWidth="1"/>
    <col min="511" max="511" width="45.5546875" style="199" customWidth="1"/>
    <col min="512" max="512" width="4.5546875" style="199" customWidth="1"/>
    <col min="513" max="513" width="46.5546875" style="199" bestFit="1" customWidth="1"/>
    <col min="514" max="514" width="13.77734375" style="199" bestFit="1" customWidth="1"/>
    <col min="515" max="516" width="10.5546875" style="199" bestFit="1" customWidth="1"/>
    <col min="517" max="760" width="9.21875" style="199"/>
    <col min="761" max="761" width="3.5546875" style="199" customWidth="1"/>
    <col min="762" max="762" width="6.5546875" style="199" customWidth="1"/>
    <col min="763" max="763" width="17.77734375" style="199" customWidth="1"/>
    <col min="764" max="764" width="4.5546875" style="199" customWidth="1"/>
    <col min="765" max="765" width="8.5546875" style="199" customWidth="1"/>
    <col min="766" max="766" width="22.21875" style="199" customWidth="1"/>
    <col min="767" max="767" width="45.5546875" style="199" customWidth="1"/>
    <col min="768" max="768" width="4.5546875" style="199" customWidth="1"/>
    <col min="769" max="769" width="46.5546875" style="199" bestFit="1" customWidth="1"/>
    <col min="770" max="770" width="13.77734375" style="199" bestFit="1" customWidth="1"/>
    <col min="771" max="772" width="10.5546875" style="199" bestFit="1" customWidth="1"/>
    <col min="773" max="1016" width="9.21875" style="199"/>
    <col min="1017" max="1017" width="3.5546875" style="199" customWidth="1"/>
    <col min="1018" max="1018" width="6.5546875" style="199" customWidth="1"/>
    <col min="1019" max="1019" width="17.77734375" style="199" customWidth="1"/>
    <col min="1020" max="1020" width="4.5546875" style="199" customWidth="1"/>
    <col min="1021" max="1021" width="8.5546875" style="199" customWidth="1"/>
    <col min="1022" max="1022" width="22.21875" style="199" customWidth="1"/>
    <col min="1023" max="1023" width="45.5546875" style="199" customWidth="1"/>
    <col min="1024" max="1024" width="4.5546875" style="199" customWidth="1"/>
    <col min="1025" max="1025" width="46.5546875" style="199" bestFit="1" customWidth="1"/>
    <col min="1026" max="1026" width="13.77734375" style="199" bestFit="1" customWidth="1"/>
    <col min="1027" max="1028" width="10.5546875" style="199" bestFit="1" customWidth="1"/>
    <col min="1029" max="1272" width="9.21875" style="199"/>
    <col min="1273" max="1273" width="3.5546875" style="199" customWidth="1"/>
    <col min="1274" max="1274" width="6.5546875" style="199" customWidth="1"/>
    <col min="1275" max="1275" width="17.77734375" style="199" customWidth="1"/>
    <col min="1276" max="1276" width="4.5546875" style="199" customWidth="1"/>
    <col min="1277" max="1277" width="8.5546875" style="199" customWidth="1"/>
    <col min="1278" max="1278" width="22.21875" style="199" customWidth="1"/>
    <col min="1279" max="1279" width="45.5546875" style="199" customWidth="1"/>
    <col min="1280" max="1280" width="4.5546875" style="199" customWidth="1"/>
    <col min="1281" max="1281" width="46.5546875" style="199" bestFit="1" customWidth="1"/>
    <col min="1282" max="1282" width="13.77734375" style="199" bestFit="1" customWidth="1"/>
    <col min="1283" max="1284" width="10.5546875" style="199" bestFit="1" customWidth="1"/>
    <col min="1285" max="1528" width="9.21875" style="199"/>
    <col min="1529" max="1529" width="3.5546875" style="199" customWidth="1"/>
    <col min="1530" max="1530" width="6.5546875" style="199" customWidth="1"/>
    <col min="1531" max="1531" width="17.77734375" style="199" customWidth="1"/>
    <col min="1532" max="1532" width="4.5546875" style="199" customWidth="1"/>
    <col min="1533" max="1533" width="8.5546875" style="199" customWidth="1"/>
    <col min="1534" max="1534" width="22.21875" style="199" customWidth="1"/>
    <col min="1535" max="1535" width="45.5546875" style="199" customWidth="1"/>
    <col min="1536" max="1536" width="4.5546875" style="199" customWidth="1"/>
    <col min="1537" max="1537" width="46.5546875" style="199" bestFit="1" customWidth="1"/>
    <col min="1538" max="1538" width="13.77734375" style="199" bestFit="1" customWidth="1"/>
    <col min="1539" max="1540" width="10.5546875" style="199" bestFit="1" customWidth="1"/>
    <col min="1541" max="1784" width="9.21875" style="199"/>
    <col min="1785" max="1785" width="3.5546875" style="199" customWidth="1"/>
    <col min="1786" max="1786" width="6.5546875" style="199" customWidth="1"/>
    <col min="1787" max="1787" width="17.77734375" style="199" customWidth="1"/>
    <col min="1788" max="1788" width="4.5546875" style="199" customWidth="1"/>
    <col min="1789" max="1789" width="8.5546875" style="199" customWidth="1"/>
    <col min="1790" max="1790" width="22.21875" style="199" customWidth="1"/>
    <col min="1791" max="1791" width="45.5546875" style="199" customWidth="1"/>
    <col min="1792" max="1792" width="4.5546875" style="199" customWidth="1"/>
    <col min="1793" max="1793" width="46.5546875" style="199" bestFit="1" customWidth="1"/>
    <col min="1794" max="1794" width="13.77734375" style="199" bestFit="1" customWidth="1"/>
    <col min="1795" max="1796" width="10.5546875" style="199" bestFit="1" customWidth="1"/>
    <col min="1797" max="2040" width="9.21875" style="199"/>
    <col min="2041" max="2041" width="3.5546875" style="199" customWidth="1"/>
    <col min="2042" max="2042" width="6.5546875" style="199" customWidth="1"/>
    <col min="2043" max="2043" width="17.77734375" style="199" customWidth="1"/>
    <col min="2044" max="2044" width="4.5546875" style="199" customWidth="1"/>
    <col min="2045" max="2045" width="8.5546875" style="199" customWidth="1"/>
    <col min="2046" max="2046" width="22.21875" style="199" customWidth="1"/>
    <col min="2047" max="2047" width="45.5546875" style="199" customWidth="1"/>
    <col min="2048" max="2048" width="4.5546875" style="199" customWidth="1"/>
    <col min="2049" max="2049" width="46.5546875" style="199" bestFit="1" customWidth="1"/>
    <col min="2050" max="2050" width="13.77734375" style="199" bestFit="1" customWidth="1"/>
    <col min="2051" max="2052" width="10.5546875" style="199" bestFit="1" customWidth="1"/>
    <col min="2053" max="2296" width="9.21875" style="199"/>
    <col min="2297" max="2297" width="3.5546875" style="199" customWidth="1"/>
    <col min="2298" max="2298" width="6.5546875" style="199" customWidth="1"/>
    <col min="2299" max="2299" width="17.77734375" style="199" customWidth="1"/>
    <col min="2300" max="2300" width="4.5546875" style="199" customWidth="1"/>
    <col min="2301" max="2301" width="8.5546875" style="199" customWidth="1"/>
    <col min="2302" max="2302" width="22.21875" style="199" customWidth="1"/>
    <col min="2303" max="2303" width="45.5546875" style="199" customWidth="1"/>
    <col min="2304" max="2304" width="4.5546875" style="199" customWidth="1"/>
    <col min="2305" max="2305" width="46.5546875" style="199" bestFit="1" customWidth="1"/>
    <col min="2306" max="2306" width="13.77734375" style="199" bestFit="1" customWidth="1"/>
    <col min="2307" max="2308" width="10.5546875" style="199" bestFit="1" customWidth="1"/>
    <col min="2309" max="2552" width="9.21875" style="199"/>
    <col min="2553" max="2553" width="3.5546875" style="199" customWidth="1"/>
    <col min="2554" max="2554" width="6.5546875" style="199" customWidth="1"/>
    <col min="2555" max="2555" width="17.77734375" style="199" customWidth="1"/>
    <col min="2556" max="2556" width="4.5546875" style="199" customWidth="1"/>
    <col min="2557" max="2557" width="8.5546875" style="199" customWidth="1"/>
    <col min="2558" max="2558" width="22.21875" style="199" customWidth="1"/>
    <col min="2559" max="2559" width="45.5546875" style="199" customWidth="1"/>
    <col min="2560" max="2560" width="4.5546875" style="199" customWidth="1"/>
    <col min="2561" max="2561" width="46.5546875" style="199" bestFit="1" customWidth="1"/>
    <col min="2562" max="2562" width="13.77734375" style="199" bestFit="1" customWidth="1"/>
    <col min="2563" max="2564" width="10.5546875" style="199" bestFit="1" customWidth="1"/>
    <col min="2565" max="2808" width="9.21875" style="199"/>
    <col min="2809" max="2809" width="3.5546875" style="199" customWidth="1"/>
    <col min="2810" max="2810" width="6.5546875" style="199" customWidth="1"/>
    <col min="2811" max="2811" width="17.77734375" style="199" customWidth="1"/>
    <col min="2812" max="2812" width="4.5546875" style="199" customWidth="1"/>
    <col min="2813" max="2813" width="8.5546875" style="199" customWidth="1"/>
    <col min="2814" max="2814" width="22.21875" style="199" customWidth="1"/>
    <col min="2815" max="2815" width="45.5546875" style="199" customWidth="1"/>
    <col min="2816" max="2816" width="4.5546875" style="199" customWidth="1"/>
    <col min="2817" max="2817" width="46.5546875" style="199" bestFit="1" customWidth="1"/>
    <col min="2818" max="2818" width="13.77734375" style="199" bestFit="1" customWidth="1"/>
    <col min="2819" max="2820" width="10.5546875" style="199" bestFit="1" customWidth="1"/>
    <col min="2821" max="3064" width="9.21875" style="199"/>
    <col min="3065" max="3065" width="3.5546875" style="199" customWidth="1"/>
    <col min="3066" max="3066" width="6.5546875" style="199" customWidth="1"/>
    <col min="3067" max="3067" width="17.77734375" style="199" customWidth="1"/>
    <col min="3068" max="3068" width="4.5546875" style="199" customWidth="1"/>
    <col min="3069" max="3069" width="8.5546875" style="199" customWidth="1"/>
    <col min="3070" max="3070" width="22.21875" style="199" customWidth="1"/>
    <col min="3071" max="3071" width="45.5546875" style="199" customWidth="1"/>
    <col min="3072" max="3072" width="4.5546875" style="199" customWidth="1"/>
    <col min="3073" max="3073" width="46.5546875" style="199" bestFit="1" customWidth="1"/>
    <col min="3074" max="3074" width="13.77734375" style="199" bestFit="1" customWidth="1"/>
    <col min="3075" max="3076" width="10.5546875" style="199" bestFit="1" customWidth="1"/>
    <col min="3077" max="3320" width="9.21875" style="199"/>
    <col min="3321" max="3321" width="3.5546875" style="199" customWidth="1"/>
    <col min="3322" max="3322" width="6.5546875" style="199" customWidth="1"/>
    <col min="3323" max="3323" width="17.77734375" style="199" customWidth="1"/>
    <col min="3324" max="3324" width="4.5546875" style="199" customWidth="1"/>
    <col min="3325" max="3325" width="8.5546875" style="199" customWidth="1"/>
    <col min="3326" max="3326" width="22.21875" style="199" customWidth="1"/>
    <col min="3327" max="3327" width="45.5546875" style="199" customWidth="1"/>
    <col min="3328" max="3328" width="4.5546875" style="199" customWidth="1"/>
    <col min="3329" max="3329" width="46.5546875" style="199" bestFit="1" customWidth="1"/>
    <col min="3330" max="3330" width="13.77734375" style="199" bestFit="1" customWidth="1"/>
    <col min="3331" max="3332" width="10.5546875" style="199" bestFit="1" customWidth="1"/>
    <col min="3333" max="3576" width="9.21875" style="199"/>
    <col min="3577" max="3577" width="3.5546875" style="199" customWidth="1"/>
    <col min="3578" max="3578" width="6.5546875" style="199" customWidth="1"/>
    <col min="3579" max="3579" width="17.77734375" style="199" customWidth="1"/>
    <col min="3580" max="3580" width="4.5546875" style="199" customWidth="1"/>
    <col min="3581" max="3581" width="8.5546875" style="199" customWidth="1"/>
    <col min="3582" max="3582" width="22.21875" style="199" customWidth="1"/>
    <col min="3583" max="3583" width="45.5546875" style="199" customWidth="1"/>
    <col min="3584" max="3584" width="4.5546875" style="199" customWidth="1"/>
    <col min="3585" max="3585" width="46.5546875" style="199" bestFit="1" customWidth="1"/>
    <col min="3586" max="3586" width="13.77734375" style="199" bestFit="1" customWidth="1"/>
    <col min="3587" max="3588" width="10.5546875" style="199" bestFit="1" customWidth="1"/>
    <col min="3589" max="3832" width="9.21875" style="199"/>
    <col min="3833" max="3833" width="3.5546875" style="199" customWidth="1"/>
    <col min="3834" max="3834" width="6.5546875" style="199" customWidth="1"/>
    <col min="3835" max="3835" width="17.77734375" style="199" customWidth="1"/>
    <col min="3836" max="3836" width="4.5546875" style="199" customWidth="1"/>
    <col min="3837" max="3837" width="8.5546875" style="199" customWidth="1"/>
    <col min="3838" max="3838" width="22.21875" style="199" customWidth="1"/>
    <col min="3839" max="3839" width="45.5546875" style="199" customWidth="1"/>
    <col min="3840" max="3840" width="4.5546875" style="199" customWidth="1"/>
    <col min="3841" max="3841" width="46.5546875" style="199" bestFit="1" customWidth="1"/>
    <col min="3842" max="3842" width="13.77734375" style="199" bestFit="1" customWidth="1"/>
    <col min="3843" max="3844" width="10.5546875" style="199" bestFit="1" customWidth="1"/>
    <col min="3845" max="4088" width="9.21875" style="199"/>
    <col min="4089" max="4089" width="3.5546875" style="199" customWidth="1"/>
    <col min="4090" max="4090" width="6.5546875" style="199" customWidth="1"/>
    <col min="4091" max="4091" width="17.77734375" style="199" customWidth="1"/>
    <col min="4092" max="4092" width="4.5546875" style="199" customWidth="1"/>
    <col min="4093" max="4093" width="8.5546875" style="199" customWidth="1"/>
    <col min="4094" max="4094" width="22.21875" style="199" customWidth="1"/>
    <col min="4095" max="4095" width="45.5546875" style="199" customWidth="1"/>
    <col min="4096" max="4096" width="4.5546875" style="199" customWidth="1"/>
    <col min="4097" max="4097" width="46.5546875" style="199" bestFit="1" customWidth="1"/>
    <col min="4098" max="4098" width="13.77734375" style="199" bestFit="1" customWidth="1"/>
    <col min="4099" max="4100" width="10.5546875" style="199" bestFit="1" customWidth="1"/>
    <col min="4101" max="4344" width="9.21875" style="199"/>
    <col min="4345" max="4345" width="3.5546875" style="199" customWidth="1"/>
    <col min="4346" max="4346" width="6.5546875" style="199" customWidth="1"/>
    <col min="4347" max="4347" width="17.77734375" style="199" customWidth="1"/>
    <col min="4348" max="4348" width="4.5546875" style="199" customWidth="1"/>
    <col min="4349" max="4349" width="8.5546875" style="199" customWidth="1"/>
    <col min="4350" max="4350" width="22.21875" style="199" customWidth="1"/>
    <col min="4351" max="4351" width="45.5546875" style="199" customWidth="1"/>
    <col min="4352" max="4352" width="4.5546875" style="199" customWidth="1"/>
    <col min="4353" max="4353" width="46.5546875" style="199" bestFit="1" customWidth="1"/>
    <col min="4354" max="4354" width="13.77734375" style="199" bestFit="1" customWidth="1"/>
    <col min="4355" max="4356" width="10.5546875" style="199" bestFit="1" customWidth="1"/>
    <col min="4357" max="4600" width="9.21875" style="199"/>
    <col min="4601" max="4601" width="3.5546875" style="199" customWidth="1"/>
    <col min="4602" max="4602" width="6.5546875" style="199" customWidth="1"/>
    <col min="4603" max="4603" width="17.77734375" style="199" customWidth="1"/>
    <col min="4604" max="4604" width="4.5546875" style="199" customWidth="1"/>
    <col min="4605" max="4605" width="8.5546875" style="199" customWidth="1"/>
    <col min="4606" max="4606" width="22.21875" style="199" customWidth="1"/>
    <col min="4607" max="4607" width="45.5546875" style="199" customWidth="1"/>
    <col min="4608" max="4608" width="4.5546875" style="199" customWidth="1"/>
    <col min="4609" max="4609" width="46.5546875" style="199" bestFit="1" customWidth="1"/>
    <col min="4610" max="4610" width="13.77734375" style="199" bestFit="1" customWidth="1"/>
    <col min="4611" max="4612" width="10.5546875" style="199" bestFit="1" customWidth="1"/>
    <col min="4613" max="4856" width="9.21875" style="199"/>
    <col min="4857" max="4857" width="3.5546875" style="199" customWidth="1"/>
    <col min="4858" max="4858" width="6.5546875" style="199" customWidth="1"/>
    <col min="4859" max="4859" width="17.77734375" style="199" customWidth="1"/>
    <col min="4860" max="4860" width="4.5546875" style="199" customWidth="1"/>
    <col min="4861" max="4861" width="8.5546875" style="199" customWidth="1"/>
    <col min="4862" max="4862" width="22.21875" style="199" customWidth="1"/>
    <col min="4863" max="4863" width="45.5546875" style="199" customWidth="1"/>
    <col min="4864" max="4864" width="4.5546875" style="199" customWidth="1"/>
    <col min="4865" max="4865" width="46.5546875" style="199" bestFit="1" customWidth="1"/>
    <col min="4866" max="4866" width="13.77734375" style="199" bestFit="1" customWidth="1"/>
    <col min="4867" max="4868" width="10.5546875" style="199" bestFit="1" customWidth="1"/>
    <col min="4869" max="5112" width="9.21875" style="199"/>
    <col min="5113" max="5113" width="3.5546875" style="199" customWidth="1"/>
    <col min="5114" max="5114" width="6.5546875" style="199" customWidth="1"/>
    <col min="5115" max="5115" width="17.77734375" style="199" customWidth="1"/>
    <col min="5116" max="5116" width="4.5546875" style="199" customWidth="1"/>
    <col min="5117" max="5117" width="8.5546875" style="199" customWidth="1"/>
    <col min="5118" max="5118" width="22.21875" style="199" customWidth="1"/>
    <col min="5119" max="5119" width="45.5546875" style="199" customWidth="1"/>
    <col min="5120" max="5120" width="4.5546875" style="199" customWidth="1"/>
    <col min="5121" max="5121" width="46.5546875" style="199" bestFit="1" customWidth="1"/>
    <col min="5122" max="5122" width="13.77734375" style="199" bestFit="1" customWidth="1"/>
    <col min="5123" max="5124" width="10.5546875" style="199" bestFit="1" customWidth="1"/>
    <col min="5125" max="5368" width="9.21875" style="199"/>
    <col min="5369" max="5369" width="3.5546875" style="199" customWidth="1"/>
    <col min="5370" max="5370" width="6.5546875" style="199" customWidth="1"/>
    <col min="5371" max="5371" width="17.77734375" style="199" customWidth="1"/>
    <col min="5372" max="5372" width="4.5546875" style="199" customWidth="1"/>
    <col min="5373" max="5373" width="8.5546875" style="199" customWidth="1"/>
    <col min="5374" max="5374" width="22.21875" style="199" customWidth="1"/>
    <col min="5375" max="5375" width="45.5546875" style="199" customWidth="1"/>
    <col min="5376" max="5376" width="4.5546875" style="199" customWidth="1"/>
    <col min="5377" max="5377" width="46.5546875" style="199" bestFit="1" customWidth="1"/>
    <col min="5378" max="5378" width="13.77734375" style="199" bestFit="1" customWidth="1"/>
    <col min="5379" max="5380" width="10.5546875" style="199" bestFit="1" customWidth="1"/>
    <col min="5381" max="5624" width="9.21875" style="199"/>
    <col min="5625" max="5625" width="3.5546875" style="199" customWidth="1"/>
    <col min="5626" max="5626" width="6.5546875" style="199" customWidth="1"/>
    <col min="5627" max="5627" width="17.77734375" style="199" customWidth="1"/>
    <col min="5628" max="5628" width="4.5546875" style="199" customWidth="1"/>
    <col min="5629" max="5629" width="8.5546875" style="199" customWidth="1"/>
    <col min="5630" max="5630" width="22.21875" style="199" customWidth="1"/>
    <col min="5631" max="5631" width="45.5546875" style="199" customWidth="1"/>
    <col min="5632" max="5632" width="4.5546875" style="199" customWidth="1"/>
    <col min="5633" max="5633" width="46.5546875" style="199" bestFit="1" customWidth="1"/>
    <col min="5634" max="5634" width="13.77734375" style="199" bestFit="1" customWidth="1"/>
    <col min="5635" max="5636" width="10.5546875" style="199" bestFit="1" customWidth="1"/>
    <col min="5637" max="5880" width="9.21875" style="199"/>
    <col min="5881" max="5881" width="3.5546875" style="199" customWidth="1"/>
    <col min="5882" max="5882" width="6.5546875" style="199" customWidth="1"/>
    <col min="5883" max="5883" width="17.77734375" style="199" customWidth="1"/>
    <col min="5884" max="5884" width="4.5546875" style="199" customWidth="1"/>
    <col min="5885" max="5885" width="8.5546875" style="199" customWidth="1"/>
    <col min="5886" max="5886" width="22.21875" style="199" customWidth="1"/>
    <col min="5887" max="5887" width="45.5546875" style="199" customWidth="1"/>
    <col min="5888" max="5888" width="4.5546875" style="199" customWidth="1"/>
    <col min="5889" max="5889" width="46.5546875" style="199" bestFit="1" customWidth="1"/>
    <col min="5890" max="5890" width="13.77734375" style="199" bestFit="1" customWidth="1"/>
    <col min="5891" max="5892" width="10.5546875" style="199" bestFit="1" customWidth="1"/>
    <col min="5893" max="6136" width="9.21875" style="199"/>
    <col min="6137" max="6137" width="3.5546875" style="199" customWidth="1"/>
    <col min="6138" max="6138" width="6.5546875" style="199" customWidth="1"/>
    <col min="6139" max="6139" width="17.77734375" style="199" customWidth="1"/>
    <col min="6140" max="6140" width="4.5546875" style="199" customWidth="1"/>
    <col min="6141" max="6141" width="8.5546875" style="199" customWidth="1"/>
    <col min="6142" max="6142" width="22.21875" style="199" customWidth="1"/>
    <col min="6143" max="6143" width="45.5546875" style="199" customWidth="1"/>
    <col min="6144" max="6144" width="4.5546875" style="199" customWidth="1"/>
    <col min="6145" max="6145" width="46.5546875" style="199" bestFit="1" customWidth="1"/>
    <col min="6146" max="6146" width="13.77734375" style="199" bestFit="1" customWidth="1"/>
    <col min="6147" max="6148" width="10.5546875" style="199" bestFit="1" customWidth="1"/>
    <col min="6149" max="6392" width="9.21875" style="199"/>
    <col min="6393" max="6393" width="3.5546875" style="199" customWidth="1"/>
    <col min="6394" max="6394" width="6.5546875" style="199" customWidth="1"/>
    <col min="6395" max="6395" width="17.77734375" style="199" customWidth="1"/>
    <col min="6396" max="6396" width="4.5546875" style="199" customWidth="1"/>
    <col min="6397" max="6397" width="8.5546875" style="199" customWidth="1"/>
    <col min="6398" max="6398" width="22.21875" style="199" customWidth="1"/>
    <col min="6399" max="6399" width="45.5546875" style="199" customWidth="1"/>
    <col min="6400" max="6400" width="4.5546875" style="199" customWidth="1"/>
    <col min="6401" max="6401" width="46.5546875" style="199" bestFit="1" customWidth="1"/>
    <col min="6402" max="6402" width="13.77734375" style="199" bestFit="1" customWidth="1"/>
    <col min="6403" max="6404" width="10.5546875" style="199" bestFit="1" customWidth="1"/>
    <col min="6405" max="6648" width="9.21875" style="199"/>
    <col min="6649" max="6649" width="3.5546875" style="199" customWidth="1"/>
    <col min="6650" max="6650" width="6.5546875" style="199" customWidth="1"/>
    <col min="6651" max="6651" width="17.77734375" style="199" customWidth="1"/>
    <col min="6652" max="6652" width="4.5546875" style="199" customWidth="1"/>
    <col min="6653" max="6653" width="8.5546875" style="199" customWidth="1"/>
    <col min="6654" max="6654" width="22.21875" style="199" customWidth="1"/>
    <col min="6655" max="6655" width="45.5546875" style="199" customWidth="1"/>
    <col min="6656" max="6656" width="4.5546875" style="199" customWidth="1"/>
    <col min="6657" max="6657" width="46.5546875" style="199" bestFit="1" customWidth="1"/>
    <col min="6658" max="6658" width="13.77734375" style="199" bestFit="1" customWidth="1"/>
    <col min="6659" max="6660" width="10.5546875" style="199" bestFit="1" customWidth="1"/>
    <col min="6661" max="6904" width="9.21875" style="199"/>
    <col min="6905" max="6905" width="3.5546875" style="199" customWidth="1"/>
    <col min="6906" max="6906" width="6.5546875" style="199" customWidth="1"/>
    <col min="6907" max="6907" width="17.77734375" style="199" customWidth="1"/>
    <col min="6908" max="6908" width="4.5546875" style="199" customWidth="1"/>
    <col min="6909" max="6909" width="8.5546875" style="199" customWidth="1"/>
    <col min="6910" max="6910" width="22.21875" style="199" customWidth="1"/>
    <col min="6911" max="6911" width="45.5546875" style="199" customWidth="1"/>
    <col min="6912" max="6912" width="4.5546875" style="199" customWidth="1"/>
    <col min="6913" max="6913" width="46.5546875" style="199" bestFit="1" customWidth="1"/>
    <col min="6914" max="6914" width="13.77734375" style="199" bestFit="1" customWidth="1"/>
    <col min="6915" max="6916" width="10.5546875" style="199" bestFit="1" customWidth="1"/>
    <col min="6917" max="7160" width="9.21875" style="199"/>
    <col min="7161" max="7161" width="3.5546875" style="199" customWidth="1"/>
    <col min="7162" max="7162" width="6.5546875" style="199" customWidth="1"/>
    <col min="7163" max="7163" width="17.77734375" style="199" customWidth="1"/>
    <col min="7164" max="7164" width="4.5546875" style="199" customWidth="1"/>
    <col min="7165" max="7165" width="8.5546875" style="199" customWidth="1"/>
    <col min="7166" max="7166" width="22.21875" style="199" customWidth="1"/>
    <col min="7167" max="7167" width="45.5546875" style="199" customWidth="1"/>
    <col min="7168" max="7168" width="4.5546875" style="199" customWidth="1"/>
    <col min="7169" max="7169" width="46.5546875" style="199" bestFit="1" customWidth="1"/>
    <col min="7170" max="7170" width="13.77734375" style="199" bestFit="1" customWidth="1"/>
    <col min="7171" max="7172" width="10.5546875" style="199" bestFit="1" customWidth="1"/>
    <col min="7173" max="7416" width="9.21875" style="199"/>
    <col min="7417" max="7417" width="3.5546875" style="199" customWidth="1"/>
    <col min="7418" max="7418" width="6.5546875" style="199" customWidth="1"/>
    <col min="7419" max="7419" width="17.77734375" style="199" customWidth="1"/>
    <col min="7420" max="7420" width="4.5546875" style="199" customWidth="1"/>
    <col min="7421" max="7421" width="8.5546875" style="199" customWidth="1"/>
    <col min="7422" max="7422" width="22.21875" style="199" customWidth="1"/>
    <col min="7423" max="7423" width="45.5546875" style="199" customWidth="1"/>
    <col min="7424" max="7424" width="4.5546875" style="199" customWidth="1"/>
    <col min="7425" max="7425" width="46.5546875" style="199" bestFit="1" customWidth="1"/>
    <col min="7426" max="7426" width="13.77734375" style="199" bestFit="1" customWidth="1"/>
    <col min="7427" max="7428" width="10.5546875" style="199" bestFit="1" customWidth="1"/>
    <col min="7429" max="7672" width="9.21875" style="199"/>
    <col min="7673" max="7673" width="3.5546875" style="199" customWidth="1"/>
    <col min="7674" max="7674" width="6.5546875" style="199" customWidth="1"/>
    <col min="7675" max="7675" width="17.77734375" style="199" customWidth="1"/>
    <col min="7676" max="7676" width="4.5546875" style="199" customWidth="1"/>
    <col min="7677" max="7677" width="8.5546875" style="199" customWidth="1"/>
    <col min="7678" max="7678" width="22.21875" style="199" customWidth="1"/>
    <col min="7679" max="7679" width="45.5546875" style="199" customWidth="1"/>
    <col min="7680" max="7680" width="4.5546875" style="199" customWidth="1"/>
    <col min="7681" max="7681" width="46.5546875" style="199" bestFit="1" customWidth="1"/>
    <col min="7682" max="7682" width="13.77734375" style="199" bestFit="1" customWidth="1"/>
    <col min="7683" max="7684" width="10.5546875" style="199" bestFit="1" customWidth="1"/>
    <col min="7685" max="7928" width="9.21875" style="199"/>
    <col min="7929" max="7929" width="3.5546875" style="199" customWidth="1"/>
    <col min="7930" max="7930" width="6.5546875" style="199" customWidth="1"/>
    <col min="7931" max="7931" width="17.77734375" style="199" customWidth="1"/>
    <col min="7932" max="7932" width="4.5546875" style="199" customWidth="1"/>
    <col min="7933" max="7933" width="8.5546875" style="199" customWidth="1"/>
    <col min="7934" max="7934" width="22.21875" style="199" customWidth="1"/>
    <col min="7935" max="7935" width="45.5546875" style="199" customWidth="1"/>
    <col min="7936" max="7936" width="4.5546875" style="199" customWidth="1"/>
    <col min="7937" max="7937" width="46.5546875" style="199" bestFit="1" customWidth="1"/>
    <col min="7938" max="7938" width="13.77734375" style="199" bestFit="1" customWidth="1"/>
    <col min="7939" max="7940" width="10.5546875" style="199" bestFit="1" customWidth="1"/>
    <col min="7941" max="8184" width="9.21875" style="199"/>
    <col min="8185" max="8185" width="3.5546875" style="199" customWidth="1"/>
    <col min="8186" max="8186" width="6.5546875" style="199" customWidth="1"/>
    <col min="8187" max="8187" width="17.77734375" style="199" customWidth="1"/>
    <col min="8188" max="8188" width="4.5546875" style="199" customWidth="1"/>
    <col min="8189" max="8189" width="8.5546875" style="199" customWidth="1"/>
    <col min="8190" max="8190" width="22.21875" style="199" customWidth="1"/>
    <col min="8191" max="8191" width="45.5546875" style="199" customWidth="1"/>
    <col min="8192" max="8192" width="4.5546875" style="199" customWidth="1"/>
    <col min="8193" max="8193" width="46.5546875" style="199" bestFit="1" customWidth="1"/>
    <col min="8194" max="8194" width="13.77734375" style="199" bestFit="1" customWidth="1"/>
    <col min="8195" max="8196" width="10.5546875" style="199" bestFit="1" customWidth="1"/>
    <col min="8197" max="8440" width="9.21875" style="199"/>
    <col min="8441" max="8441" width="3.5546875" style="199" customWidth="1"/>
    <col min="8442" max="8442" width="6.5546875" style="199" customWidth="1"/>
    <col min="8443" max="8443" width="17.77734375" style="199" customWidth="1"/>
    <col min="8444" max="8444" width="4.5546875" style="199" customWidth="1"/>
    <col min="8445" max="8445" width="8.5546875" style="199" customWidth="1"/>
    <col min="8446" max="8446" width="22.21875" style="199" customWidth="1"/>
    <col min="8447" max="8447" width="45.5546875" style="199" customWidth="1"/>
    <col min="8448" max="8448" width="4.5546875" style="199" customWidth="1"/>
    <col min="8449" max="8449" width="46.5546875" style="199" bestFit="1" customWidth="1"/>
    <col min="8450" max="8450" width="13.77734375" style="199" bestFit="1" customWidth="1"/>
    <col min="8451" max="8452" width="10.5546875" style="199" bestFit="1" customWidth="1"/>
    <col min="8453" max="8696" width="9.21875" style="199"/>
    <col min="8697" max="8697" width="3.5546875" style="199" customWidth="1"/>
    <col min="8698" max="8698" width="6.5546875" style="199" customWidth="1"/>
    <col min="8699" max="8699" width="17.77734375" style="199" customWidth="1"/>
    <col min="8700" max="8700" width="4.5546875" style="199" customWidth="1"/>
    <col min="8701" max="8701" width="8.5546875" style="199" customWidth="1"/>
    <col min="8702" max="8702" width="22.21875" style="199" customWidth="1"/>
    <col min="8703" max="8703" width="45.5546875" style="199" customWidth="1"/>
    <col min="8704" max="8704" width="4.5546875" style="199" customWidth="1"/>
    <col min="8705" max="8705" width="46.5546875" style="199" bestFit="1" customWidth="1"/>
    <col min="8706" max="8706" width="13.77734375" style="199" bestFit="1" customWidth="1"/>
    <col min="8707" max="8708" width="10.5546875" style="199" bestFit="1" customWidth="1"/>
    <col min="8709" max="8952" width="9.21875" style="199"/>
    <col min="8953" max="8953" width="3.5546875" style="199" customWidth="1"/>
    <col min="8954" max="8954" width="6.5546875" style="199" customWidth="1"/>
    <col min="8955" max="8955" width="17.77734375" style="199" customWidth="1"/>
    <col min="8956" max="8956" width="4.5546875" style="199" customWidth="1"/>
    <col min="8957" max="8957" width="8.5546875" style="199" customWidth="1"/>
    <col min="8958" max="8958" width="22.21875" style="199" customWidth="1"/>
    <col min="8959" max="8959" width="45.5546875" style="199" customWidth="1"/>
    <col min="8960" max="8960" width="4.5546875" style="199" customWidth="1"/>
    <col min="8961" max="8961" width="46.5546875" style="199" bestFit="1" customWidth="1"/>
    <col min="8962" max="8962" width="13.77734375" style="199" bestFit="1" customWidth="1"/>
    <col min="8963" max="8964" width="10.5546875" style="199" bestFit="1" customWidth="1"/>
    <col min="8965" max="9208" width="9.21875" style="199"/>
    <col min="9209" max="9209" width="3.5546875" style="199" customWidth="1"/>
    <col min="9210" max="9210" width="6.5546875" style="199" customWidth="1"/>
    <col min="9211" max="9211" width="17.77734375" style="199" customWidth="1"/>
    <col min="9212" max="9212" width="4.5546875" style="199" customWidth="1"/>
    <col min="9213" max="9213" width="8.5546875" style="199" customWidth="1"/>
    <col min="9214" max="9214" width="22.21875" style="199" customWidth="1"/>
    <col min="9215" max="9215" width="45.5546875" style="199" customWidth="1"/>
    <col min="9216" max="9216" width="4.5546875" style="199" customWidth="1"/>
    <col min="9217" max="9217" width="46.5546875" style="199" bestFit="1" customWidth="1"/>
    <col min="9218" max="9218" width="13.77734375" style="199" bestFit="1" customWidth="1"/>
    <col min="9219" max="9220" width="10.5546875" style="199" bestFit="1" customWidth="1"/>
    <col min="9221" max="9464" width="9.21875" style="199"/>
    <col min="9465" max="9465" width="3.5546875" style="199" customWidth="1"/>
    <col min="9466" max="9466" width="6.5546875" style="199" customWidth="1"/>
    <col min="9467" max="9467" width="17.77734375" style="199" customWidth="1"/>
    <col min="9468" max="9468" width="4.5546875" style="199" customWidth="1"/>
    <col min="9469" max="9469" width="8.5546875" style="199" customWidth="1"/>
    <col min="9470" max="9470" width="22.21875" style="199" customWidth="1"/>
    <col min="9471" max="9471" width="45.5546875" style="199" customWidth="1"/>
    <col min="9472" max="9472" width="4.5546875" style="199" customWidth="1"/>
    <col min="9473" max="9473" width="46.5546875" style="199" bestFit="1" customWidth="1"/>
    <col min="9474" max="9474" width="13.77734375" style="199" bestFit="1" customWidth="1"/>
    <col min="9475" max="9476" width="10.5546875" style="199" bestFit="1" customWidth="1"/>
    <col min="9477" max="9720" width="9.21875" style="199"/>
    <col min="9721" max="9721" width="3.5546875" style="199" customWidth="1"/>
    <col min="9722" max="9722" width="6.5546875" style="199" customWidth="1"/>
    <col min="9723" max="9723" width="17.77734375" style="199" customWidth="1"/>
    <col min="9724" max="9724" width="4.5546875" style="199" customWidth="1"/>
    <col min="9725" max="9725" width="8.5546875" style="199" customWidth="1"/>
    <col min="9726" max="9726" width="22.21875" style="199" customWidth="1"/>
    <col min="9727" max="9727" width="45.5546875" style="199" customWidth="1"/>
    <col min="9728" max="9728" width="4.5546875" style="199" customWidth="1"/>
    <col min="9729" max="9729" width="46.5546875" style="199" bestFit="1" customWidth="1"/>
    <col min="9730" max="9730" width="13.77734375" style="199" bestFit="1" customWidth="1"/>
    <col min="9731" max="9732" width="10.5546875" style="199" bestFit="1" customWidth="1"/>
    <col min="9733" max="9976" width="9.21875" style="199"/>
    <col min="9977" max="9977" width="3.5546875" style="199" customWidth="1"/>
    <col min="9978" max="9978" width="6.5546875" style="199" customWidth="1"/>
    <col min="9979" max="9979" width="17.77734375" style="199" customWidth="1"/>
    <col min="9980" max="9980" width="4.5546875" style="199" customWidth="1"/>
    <col min="9981" max="9981" width="8.5546875" style="199" customWidth="1"/>
    <col min="9982" max="9982" width="22.21875" style="199" customWidth="1"/>
    <col min="9983" max="9983" width="45.5546875" style="199" customWidth="1"/>
    <col min="9984" max="9984" width="4.5546875" style="199" customWidth="1"/>
    <col min="9985" max="9985" width="46.5546875" style="199" bestFit="1" customWidth="1"/>
    <col min="9986" max="9986" width="13.77734375" style="199" bestFit="1" customWidth="1"/>
    <col min="9987" max="9988" width="10.5546875" style="199" bestFit="1" customWidth="1"/>
    <col min="9989" max="10232" width="9.21875" style="199"/>
    <col min="10233" max="10233" width="3.5546875" style="199" customWidth="1"/>
    <col min="10234" max="10234" width="6.5546875" style="199" customWidth="1"/>
    <col min="10235" max="10235" width="17.77734375" style="199" customWidth="1"/>
    <col min="10236" max="10236" width="4.5546875" style="199" customWidth="1"/>
    <col min="10237" max="10237" width="8.5546875" style="199" customWidth="1"/>
    <col min="10238" max="10238" width="22.21875" style="199" customWidth="1"/>
    <col min="10239" max="10239" width="45.5546875" style="199" customWidth="1"/>
    <col min="10240" max="10240" width="4.5546875" style="199" customWidth="1"/>
    <col min="10241" max="10241" width="46.5546875" style="199" bestFit="1" customWidth="1"/>
    <col min="10242" max="10242" width="13.77734375" style="199" bestFit="1" customWidth="1"/>
    <col min="10243" max="10244" width="10.5546875" style="199" bestFit="1" customWidth="1"/>
    <col min="10245" max="10488" width="9.21875" style="199"/>
    <col min="10489" max="10489" width="3.5546875" style="199" customWidth="1"/>
    <col min="10490" max="10490" width="6.5546875" style="199" customWidth="1"/>
    <col min="10491" max="10491" width="17.77734375" style="199" customWidth="1"/>
    <col min="10492" max="10492" width="4.5546875" style="199" customWidth="1"/>
    <col min="10493" max="10493" width="8.5546875" style="199" customWidth="1"/>
    <col min="10494" max="10494" width="22.21875" style="199" customWidth="1"/>
    <col min="10495" max="10495" width="45.5546875" style="199" customWidth="1"/>
    <col min="10496" max="10496" width="4.5546875" style="199" customWidth="1"/>
    <col min="10497" max="10497" width="46.5546875" style="199" bestFit="1" customWidth="1"/>
    <col min="10498" max="10498" width="13.77734375" style="199" bestFit="1" customWidth="1"/>
    <col min="10499" max="10500" width="10.5546875" style="199" bestFit="1" customWidth="1"/>
    <col min="10501" max="10744" width="9.21875" style="199"/>
    <col min="10745" max="10745" width="3.5546875" style="199" customWidth="1"/>
    <col min="10746" max="10746" width="6.5546875" style="199" customWidth="1"/>
    <col min="10747" max="10747" width="17.77734375" style="199" customWidth="1"/>
    <col min="10748" max="10748" width="4.5546875" style="199" customWidth="1"/>
    <col min="10749" max="10749" width="8.5546875" style="199" customWidth="1"/>
    <col min="10750" max="10750" width="22.21875" style="199" customWidth="1"/>
    <col min="10751" max="10751" width="45.5546875" style="199" customWidth="1"/>
    <col min="10752" max="10752" width="4.5546875" style="199" customWidth="1"/>
    <col min="10753" max="10753" width="46.5546875" style="199" bestFit="1" customWidth="1"/>
    <col min="10754" max="10754" width="13.77734375" style="199" bestFit="1" customWidth="1"/>
    <col min="10755" max="10756" width="10.5546875" style="199" bestFit="1" customWidth="1"/>
    <col min="10757" max="11000" width="9.21875" style="199"/>
    <col min="11001" max="11001" width="3.5546875" style="199" customWidth="1"/>
    <col min="11002" max="11002" width="6.5546875" style="199" customWidth="1"/>
    <col min="11003" max="11003" width="17.77734375" style="199" customWidth="1"/>
    <col min="11004" max="11004" width="4.5546875" style="199" customWidth="1"/>
    <col min="11005" max="11005" width="8.5546875" style="199" customWidth="1"/>
    <col min="11006" max="11006" width="22.21875" style="199" customWidth="1"/>
    <col min="11007" max="11007" width="45.5546875" style="199" customWidth="1"/>
    <col min="11008" max="11008" width="4.5546875" style="199" customWidth="1"/>
    <col min="11009" max="11009" width="46.5546875" style="199" bestFit="1" customWidth="1"/>
    <col min="11010" max="11010" width="13.77734375" style="199" bestFit="1" customWidth="1"/>
    <col min="11011" max="11012" width="10.5546875" style="199" bestFit="1" customWidth="1"/>
    <col min="11013" max="11256" width="9.21875" style="199"/>
    <col min="11257" max="11257" width="3.5546875" style="199" customWidth="1"/>
    <col min="11258" max="11258" width="6.5546875" style="199" customWidth="1"/>
    <col min="11259" max="11259" width="17.77734375" style="199" customWidth="1"/>
    <col min="11260" max="11260" width="4.5546875" style="199" customWidth="1"/>
    <col min="11261" max="11261" width="8.5546875" style="199" customWidth="1"/>
    <col min="11262" max="11262" width="22.21875" style="199" customWidth="1"/>
    <col min="11263" max="11263" width="45.5546875" style="199" customWidth="1"/>
    <col min="11264" max="11264" width="4.5546875" style="199" customWidth="1"/>
    <col min="11265" max="11265" width="46.5546875" style="199" bestFit="1" customWidth="1"/>
    <col min="11266" max="11266" width="13.77734375" style="199" bestFit="1" customWidth="1"/>
    <col min="11267" max="11268" width="10.5546875" style="199" bestFit="1" customWidth="1"/>
    <col min="11269" max="11512" width="9.21875" style="199"/>
    <col min="11513" max="11513" width="3.5546875" style="199" customWidth="1"/>
    <col min="11514" max="11514" width="6.5546875" style="199" customWidth="1"/>
    <col min="11515" max="11515" width="17.77734375" style="199" customWidth="1"/>
    <col min="11516" max="11516" width="4.5546875" style="199" customWidth="1"/>
    <col min="11517" max="11517" width="8.5546875" style="199" customWidth="1"/>
    <col min="11518" max="11518" width="22.21875" style="199" customWidth="1"/>
    <col min="11519" max="11519" width="45.5546875" style="199" customWidth="1"/>
    <col min="11520" max="11520" width="4.5546875" style="199" customWidth="1"/>
    <col min="11521" max="11521" width="46.5546875" style="199" bestFit="1" customWidth="1"/>
    <col min="11522" max="11522" width="13.77734375" style="199" bestFit="1" customWidth="1"/>
    <col min="11523" max="11524" width="10.5546875" style="199" bestFit="1" customWidth="1"/>
    <col min="11525" max="11768" width="9.21875" style="199"/>
    <col min="11769" max="11769" width="3.5546875" style="199" customWidth="1"/>
    <col min="11770" max="11770" width="6.5546875" style="199" customWidth="1"/>
    <col min="11771" max="11771" width="17.77734375" style="199" customWidth="1"/>
    <col min="11772" max="11772" width="4.5546875" style="199" customWidth="1"/>
    <col min="11773" max="11773" width="8.5546875" style="199" customWidth="1"/>
    <col min="11774" max="11774" width="22.21875" style="199" customWidth="1"/>
    <col min="11775" max="11775" width="45.5546875" style="199" customWidth="1"/>
    <col min="11776" max="11776" width="4.5546875" style="199" customWidth="1"/>
    <col min="11777" max="11777" width="46.5546875" style="199" bestFit="1" customWidth="1"/>
    <col min="11778" max="11778" width="13.77734375" style="199" bestFit="1" customWidth="1"/>
    <col min="11779" max="11780" width="10.5546875" style="199" bestFit="1" customWidth="1"/>
    <col min="11781" max="12024" width="9.21875" style="199"/>
    <col min="12025" max="12025" width="3.5546875" style="199" customWidth="1"/>
    <col min="12026" max="12026" width="6.5546875" style="199" customWidth="1"/>
    <col min="12027" max="12027" width="17.77734375" style="199" customWidth="1"/>
    <col min="12028" max="12028" width="4.5546875" style="199" customWidth="1"/>
    <col min="12029" max="12029" width="8.5546875" style="199" customWidth="1"/>
    <col min="12030" max="12030" width="22.21875" style="199" customWidth="1"/>
    <col min="12031" max="12031" width="45.5546875" style="199" customWidth="1"/>
    <col min="12032" max="12032" width="4.5546875" style="199" customWidth="1"/>
    <col min="12033" max="12033" width="46.5546875" style="199" bestFit="1" customWidth="1"/>
    <col min="12034" max="12034" width="13.77734375" style="199" bestFit="1" customWidth="1"/>
    <col min="12035" max="12036" width="10.5546875" style="199" bestFit="1" customWidth="1"/>
    <col min="12037" max="12280" width="9.21875" style="199"/>
    <col min="12281" max="12281" width="3.5546875" style="199" customWidth="1"/>
    <col min="12282" max="12282" width="6.5546875" style="199" customWidth="1"/>
    <col min="12283" max="12283" width="17.77734375" style="199" customWidth="1"/>
    <col min="12284" max="12284" width="4.5546875" style="199" customWidth="1"/>
    <col min="12285" max="12285" width="8.5546875" style="199" customWidth="1"/>
    <col min="12286" max="12286" width="22.21875" style="199" customWidth="1"/>
    <col min="12287" max="12287" width="45.5546875" style="199" customWidth="1"/>
    <col min="12288" max="12288" width="4.5546875" style="199" customWidth="1"/>
    <col min="12289" max="12289" width="46.5546875" style="199" bestFit="1" customWidth="1"/>
    <col min="12290" max="12290" width="13.77734375" style="199" bestFit="1" customWidth="1"/>
    <col min="12291" max="12292" width="10.5546875" style="199" bestFit="1" customWidth="1"/>
    <col min="12293" max="12536" width="9.21875" style="199"/>
    <col min="12537" max="12537" width="3.5546875" style="199" customWidth="1"/>
    <col min="12538" max="12538" width="6.5546875" style="199" customWidth="1"/>
    <col min="12539" max="12539" width="17.77734375" style="199" customWidth="1"/>
    <col min="12540" max="12540" width="4.5546875" style="199" customWidth="1"/>
    <col min="12541" max="12541" width="8.5546875" style="199" customWidth="1"/>
    <col min="12542" max="12542" width="22.21875" style="199" customWidth="1"/>
    <col min="12543" max="12543" width="45.5546875" style="199" customWidth="1"/>
    <col min="12544" max="12544" width="4.5546875" style="199" customWidth="1"/>
    <col min="12545" max="12545" width="46.5546875" style="199" bestFit="1" customWidth="1"/>
    <col min="12546" max="12546" width="13.77734375" style="199" bestFit="1" customWidth="1"/>
    <col min="12547" max="12548" width="10.5546875" style="199" bestFit="1" customWidth="1"/>
    <col min="12549" max="12792" width="9.21875" style="199"/>
    <col min="12793" max="12793" width="3.5546875" style="199" customWidth="1"/>
    <col min="12794" max="12794" width="6.5546875" style="199" customWidth="1"/>
    <col min="12795" max="12795" width="17.77734375" style="199" customWidth="1"/>
    <col min="12796" max="12796" width="4.5546875" style="199" customWidth="1"/>
    <col min="12797" max="12797" width="8.5546875" style="199" customWidth="1"/>
    <col min="12798" max="12798" width="22.21875" style="199" customWidth="1"/>
    <col min="12799" max="12799" width="45.5546875" style="199" customWidth="1"/>
    <col min="12800" max="12800" width="4.5546875" style="199" customWidth="1"/>
    <col min="12801" max="12801" width="46.5546875" style="199" bestFit="1" customWidth="1"/>
    <col min="12802" max="12802" width="13.77734375" style="199" bestFit="1" customWidth="1"/>
    <col min="12803" max="12804" width="10.5546875" style="199" bestFit="1" customWidth="1"/>
    <col min="12805" max="13048" width="9.21875" style="199"/>
    <col min="13049" max="13049" width="3.5546875" style="199" customWidth="1"/>
    <col min="13050" max="13050" width="6.5546875" style="199" customWidth="1"/>
    <col min="13051" max="13051" width="17.77734375" style="199" customWidth="1"/>
    <col min="13052" max="13052" width="4.5546875" style="199" customWidth="1"/>
    <col min="13053" max="13053" width="8.5546875" style="199" customWidth="1"/>
    <col min="13054" max="13054" width="22.21875" style="199" customWidth="1"/>
    <col min="13055" max="13055" width="45.5546875" style="199" customWidth="1"/>
    <col min="13056" max="13056" width="4.5546875" style="199" customWidth="1"/>
    <col min="13057" max="13057" width="46.5546875" style="199" bestFit="1" customWidth="1"/>
    <col min="13058" max="13058" width="13.77734375" style="199" bestFit="1" customWidth="1"/>
    <col min="13059" max="13060" width="10.5546875" style="199" bestFit="1" customWidth="1"/>
    <col min="13061" max="13304" width="9.21875" style="199"/>
    <col min="13305" max="13305" width="3.5546875" style="199" customWidth="1"/>
    <col min="13306" max="13306" width="6.5546875" style="199" customWidth="1"/>
    <col min="13307" max="13307" width="17.77734375" style="199" customWidth="1"/>
    <col min="13308" max="13308" width="4.5546875" style="199" customWidth="1"/>
    <col min="13309" max="13309" width="8.5546875" style="199" customWidth="1"/>
    <col min="13310" max="13310" width="22.21875" style="199" customWidth="1"/>
    <col min="13311" max="13311" width="45.5546875" style="199" customWidth="1"/>
    <col min="13312" max="13312" width="4.5546875" style="199" customWidth="1"/>
    <col min="13313" max="13313" width="46.5546875" style="199" bestFit="1" customWidth="1"/>
    <col min="13314" max="13314" width="13.77734375" style="199" bestFit="1" customWidth="1"/>
    <col min="13315" max="13316" width="10.5546875" style="199" bestFit="1" customWidth="1"/>
    <col min="13317" max="13560" width="9.21875" style="199"/>
    <col min="13561" max="13561" width="3.5546875" style="199" customWidth="1"/>
    <col min="13562" max="13562" width="6.5546875" style="199" customWidth="1"/>
    <col min="13563" max="13563" width="17.77734375" style="199" customWidth="1"/>
    <col min="13564" max="13564" width="4.5546875" style="199" customWidth="1"/>
    <col min="13565" max="13565" width="8.5546875" style="199" customWidth="1"/>
    <col min="13566" max="13566" width="22.21875" style="199" customWidth="1"/>
    <col min="13567" max="13567" width="45.5546875" style="199" customWidth="1"/>
    <col min="13568" max="13568" width="4.5546875" style="199" customWidth="1"/>
    <col min="13569" max="13569" width="46.5546875" style="199" bestFit="1" customWidth="1"/>
    <col min="13570" max="13570" width="13.77734375" style="199" bestFit="1" customWidth="1"/>
    <col min="13571" max="13572" width="10.5546875" style="199" bestFit="1" customWidth="1"/>
    <col min="13573" max="13816" width="9.21875" style="199"/>
    <col min="13817" max="13817" width="3.5546875" style="199" customWidth="1"/>
    <col min="13818" max="13818" width="6.5546875" style="199" customWidth="1"/>
    <col min="13819" max="13819" width="17.77734375" style="199" customWidth="1"/>
    <col min="13820" max="13820" width="4.5546875" style="199" customWidth="1"/>
    <col min="13821" max="13821" width="8.5546875" style="199" customWidth="1"/>
    <col min="13822" max="13822" width="22.21875" style="199" customWidth="1"/>
    <col min="13823" max="13823" width="45.5546875" style="199" customWidth="1"/>
    <col min="13824" max="13824" width="4.5546875" style="199" customWidth="1"/>
    <col min="13825" max="13825" width="46.5546875" style="199" bestFit="1" customWidth="1"/>
    <col min="13826" max="13826" width="13.77734375" style="199" bestFit="1" customWidth="1"/>
    <col min="13827" max="13828" width="10.5546875" style="199" bestFit="1" customWidth="1"/>
    <col min="13829" max="14072" width="9.21875" style="199"/>
    <col min="14073" max="14073" width="3.5546875" style="199" customWidth="1"/>
    <col min="14074" max="14074" width="6.5546875" style="199" customWidth="1"/>
    <col min="14075" max="14075" width="17.77734375" style="199" customWidth="1"/>
    <col min="14076" max="14076" width="4.5546875" style="199" customWidth="1"/>
    <col min="14077" max="14077" width="8.5546875" style="199" customWidth="1"/>
    <col min="14078" max="14078" width="22.21875" style="199" customWidth="1"/>
    <col min="14079" max="14079" width="45.5546875" style="199" customWidth="1"/>
    <col min="14080" max="14080" width="4.5546875" style="199" customWidth="1"/>
    <col min="14081" max="14081" width="46.5546875" style="199" bestFit="1" customWidth="1"/>
    <col min="14082" max="14082" width="13.77734375" style="199" bestFit="1" customWidth="1"/>
    <col min="14083" max="14084" width="10.5546875" style="199" bestFit="1" customWidth="1"/>
    <col min="14085" max="14328" width="9.21875" style="199"/>
    <col min="14329" max="14329" width="3.5546875" style="199" customWidth="1"/>
    <col min="14330" max="14330" width="6.5546875" style="199" customWidth="1"/>
    <col min="14331" max="14331" width="17.77734375" style="199" customWidth="1"/>
    <col min="14332" max="14332" width="4.5546875" style="199" customWidth="1"/>
    <col min="14333" max="14333" width="8.5546875" style="199" customWidth="1"/>
    <col min="14334" max="14334" width="22.21875" style="199" customWidth="1"/>
    <col min="14335" max="14335" width="45.5546875" style="199" customWidth="1"/>
    <col min="14336" max="14336" width="4.5546875" style="199" customWidth="1"/>
    <col min="14337" max="14337" width="46.5546875" style="199" bestFit="1" customWidth="1"/>
    <col min="14338" max="14338" width="13.77734375" style="199" bestFit="1" customWidth="1"/>
    <col min="14339" max="14340" width="10.5546875" style="199" bestFit="1" customWidth="1"/>
    <col min="14341" max="14584" width="9.21875" style="199"/>
    <col min="14585" max="14585" width="3.5546875" style="199" customWidth="1"/>
    <col min="14586" max="14586" width="6.5546875" style="199" customWidth="1"/>
    <col min="14587" max="14587" width="17.77734375" style="199" customWidth="1"/>
    <col min="14588" max="14588" width="4.5546875" style="199" customWidth="1"/>
    <col min="14589" max="14589" width="8.5546875" style="199" customWidth="1"/>
    <col min="14590" max="14590" width="22.21875" style="199" customWidth="1"/>
    <col min="14591" max="14591" width="45.5546875" style="199" customWidth="1"/>
    <col min="14592" max="14592" width="4.5546875" style="199" customWidth="1"/>
    <col min="14593" max="14593" width="46.5546875" style="199" bestFit="1" customWidth="1"/>
    <col min="14594" max="14594" width="13.77734375" style="199" bestFit="1" customWidth="1"/>
    <col min="14595" max="14596" width="10.5546875" style="199" bestFit="1" customWidth="1"/>
    <col min="14597" max="14840" width="9.21875" style="199"/>
    <col min="14841" max="14841" width="3.5546875" style="199" customWidth="1"/>
    <col min="14842" max="14842" width="6.5546875" style="199" customWidth="1"/>
    <col min="14843" max="14843" width="17.77734375" style="199" customWidth="1"/>
    <col min="14844" max="14844" width="4.5546875" style="199" customWidth="1"/>
    <col min="14845" max="14845" width="8.5546875" style="199" customWidth="1"/>
    <col min="14846" max="14846" width="22.21875" style="199" customWidth="1"/>
    <col min="14847" max="14847" width="45.5546875" style="199" customWidth="1"/>
    <col min="14848" max="14848" width="4.5546875" style="199" customWidth="1"/>
    <col min="14849" max="14849" width="46.5546875" style="199" bestFit="1" customWidth="1"/>
    <col min="14850" max="14850" width="13.77734375" style="199" bestFit="1" customWidth="1"/>
    <col min="14851" max="14852" width="10.5546875" style="199" bestFit="1" customWidth="1"/>
    <col min="14853" max="15096" width="9.21875" style="199"/>
    <col min="15097" max="15097" width="3.5546875" style="199" customWidth="1"/>
    <col min="15098" max="15098" width="6.5546875" style="199" customWidth="1"/>
    <col min="15099" max="15099" width="17.77734375" style="199" customWidth="1"/>
    <col min="15100" max="15100" width="4.5546875" style="199" customWidth="1"/>
    <col min="15101" max="15101" width="8.5546875" style="199" customWidth="1"/>
    <col min="15102" max="15102" width="22.21875" style="199" customWidth="1"/>
    <col min="15103" max="15103" width="45.5546875" style="199" customWidth="1"/>
    <col min="15104" max="15104" width="4.5546875" style="199" customWidth="1"/>
    <col min="15105" max="15105" width="46.5546875" style="199" bestFit="1" customWidth="1"/>
    <col min="15106" max="15106" width="13.77734375" style="199" bestFit="1" customWidth="1"/>
    <col min="15107" max="15108" width="10.5546875" style="199" bestFit="1" customWidth="1"/>
    <col min="15109" max="15352" width="9.21875" style="199"/>
    <col min="15353" max="15353" width="3.5546875" style="199" customWidth="1"/>
    <col min="15354" max="15354" width="6.5546875" style="199" customWidth="1"/>
    <col min="15355" max="15355" width="17.77734375" style="199" customWidth="1"/>
    <col min="15356" max="15356" width="4.5546875" style="199" customWidth="1"/>
    <col min="15357" max="15357" width="8.5546875" style="199" customWidth="1"/>
    <col min="15358" max="15358" width="22.21875" style="199" customWidth="1"/>
    <col min="15359" max="15359" width="45.5546875" style="199" customWidth="1"/>
    <col min="15360" max="15360" width="4.5546875" style="199" customWidth="1"/>
    <col min="15361" max="15361" width="46.5546875" style="199" bestFit="1" customWidth="1"/>
    <col min="15362" max="15362" width="13.77734375" style="199" bestFit="1" customWidth="1"/>
    <col min="15363" max="15364" width="10.5546875" style="199" bestFit="1" customWidth="1"/>
    <col min="15365" max="15608" width="9.21875" style="199"/>
    <col min="15609" max="15609" width="3.5546875" style="199" customWidth="1"/>
    <col min="15610" max="15610" width="6.5546875" style="199" customWidth="1"/>
    <col min="15611" max="15611" width="17.77734375" style="199" customWidth="1"/>
    <col min="15612" max="15612" width="4.5546875" style="199" customWidth="1"/>
    <col min="15613" max="15613" width="8.5546875" style="199" customWidth="1"/>
    <col min="15614" max="15614" width="22.21875" style="199" customWidth="1"/>
    <col min="15615" max="15615" width="45.5546875" style="199" customWidth="1"/>
    <col min="15616" max="15616" width="4.5546875" style="199" customWidth="1"/>
    <col min="15617" max="15617" width="46.5546875" style="199" bestFit="1" customWidth="1"/>
    <col min="15618" max="15618" width="13.77734375" style="199" bestFit="1" customWidth="1"/>
    <col min="15619" max="15620" width="10.5546875" style="199" bestFit="1" customWidth="1"/>
    <col min="15621" max="15864" width="9.21875" style="199"/>
    <col min="15865" max="15865" width="3.5546875" style="199" customWidth="1"/>
    <col min="15866" max="15866" width="6.5546875" style="199" customWidth="1"/>
    <col min="15867" max="15867" width="17.77734375" style="199" customWidth="1"/>
    <col min="15868" max="15868" width="4.5546875" style="199" customWidth="1"/>
    <col min="15869" max="15869" width="8.5546875" style="199" customWidth="1"/>
    <col min="15870" max="15870" width="22.21875" style="199" customWidth="1"/>
    <col min="15871" max="15871" width="45.5546875" style="199" customWidth="1"/>
    <col min="15872" max="15872" width="4.5546875" style="199" customWidth="1"/>
    <col min="15873" max="15873" width="46.5546875" style="199" bestFit="1" customWidth="1"/>
    <col min="15874" max="15874" width="13.77734375" style="199" bestFit="1" customWidth="1"/>
    <col min="15875" max="15876" width="10.5546875" style="199" bestFit="1" customWidth="1"/>
    <col min="15877" max="16120" width="9.21875" style="199"/>
    <col min="16121" max="16121" width="3.5546875" style="199" customWidth="1"/>
    <col min="16122" max="16122" width="6.5546875" style="199" customWidth="1"/>
    <col min="16123" max="16123" width="17.77734375" style="199" customWidth="1"/>
    <col min="16124" max="16124" width="4.5546875" style="199" customWidth="1"/>
    <col min="16125" max="16125" width="8.5546875" style="199" customWidth="1"/>
    <col min="16126" max="16126" width="22.21875" style="199" customWidth="1"/>
    <col min="16127" max="16127" width="45.5546875" style="199" customWidth="1"/>
    <col min="16128" max="16128" width="4.5546875" style="199" customWidth="1"/>
    <col min="16129" max="16129" width="46.5546875" style="199" bestFit="1" customWidth="1"/>
    <col min="16130" max="16130" width="13.77734375" style="199" bestFit="1" customWidth="1"/>
    <col min="16131" max="16132" width="10.5546875" style="199" bestFit="1" customWidth="1"/>
    <col min="16133" max="16384" width="9.21875" style="199"/>
  </cols>
  <sheetData>
    <row r="5" spans="2:9" x14ac:dyDescent="0.35">
      <c r="B5" s="194" t="s">
        <v>74</v>
      </c>
    </row>
    <row r="6" spans="2:9" s="243" customFormat="1" x14ac:dyDescent="0.35">
      <c r="B6" s="15" t="s">
        <v>75</v>
      </c>
      <c r="C6" s="16" t="str">
        <f>'Covering Letter '!D5</f>
        <v>CS/0066/2025</v>
      </c>
      <c r="D6" s="242"/>
      <c r="E6" s="242"/>
      <c r="H6" s="244"/>
      <c r="I6" s="5"/>
    </row>
    <row r="7" spans="2:9" x14ac:dyDescent="0.35">
      <c r="B7" s="194"/>
    </row>
    <row r="8" spans="2:9" x14ac:dyDescent="0.3">
      <c r="B8" s="358" t="s">
        <v>132</v>
      </c>
      <c r="C8" s="359"/>
      <c r="D8" s="359"/>
      <c r="E8" s="359"/>
      <c r="F8" s="359"/>
      <c r="G8" s="359"/>
      <c r="H8" s="359"/>
      <c r="I8" s="359"/>
    </row>
    <row r="9" spans="2:9" s="189" customFormat="1" ht="15" thickBot="1" x14ac:dyDescent="0.4">
      <c r="B9" s="185" t="s">
        <v>133</v>
      </c>
      <c r="C9" s="185" t="s">
        <v>134</v>
      </c>
      <c r="D9" s="361" t="s">
        <v>135</v>
      </c>
      <c r="E9" s="361"/>
      <c r="F9" s="169" t="s">
        <v>136</v>
      </c>
      <c r="G9" s="169" t="s">
        <v>136</v>
      </c>
      <c r="H9" s="185" t="s">
        <v>137</v>
      </c>
      <c r="I9" s="185" t="s">
        <v>138</v>
      </c>
    </row>
    <row r="10" spans="2:9" x14ac:dyDescent="0.3">
      <c r="B10" s="170">
        <v>1</v>
      </c>
      <c r="C10" s="171" t="s">
        <v>139</v>
      </c>
      <c r="D10" s="172">
        <v>4</v>
      </c>
      <c r="E10" s="173" t="s">
        <v>140</v>
      </c>
      <c r="F10" s="176" t="s">
        <v>141</v>
      </c>
      <c r="G10" s="180">
        <v>0</v>
      </c>
      <c r="H10" s="170">
        <v>0</v>
      </c>
      <c r="I10" s="178" t="s">
        <v>141</v>
      </c>
    </row>
    <row r="11" spans="2:9" x14ac:dyDescent="0.3">
      <c r="B11" s="170">
        <v>2</v>
      </c>
      <c r="C11" s="171" t="s">
        <v>142</v>
      </c>
      <c r="D11" s="172">
        <v>8</v>
      </c>
      <c r="E11" s="173" t="s">
        <v>140</v>
      </c>
      <c r="F11" s="176" t="s">
        <v>141</v>
      </c>
      <c r="G11" s="180">
        <v>0</v>
      </c>
      <c r="H11" s="170">
        <v>0</v>
      </c>
      <c r="I11" s="178" t="s">
        <v>141</v>
      </c>
    </row>
    <row r="12" spans="2:9" x14ac:dyDescent="0.3">
      <c r="B12" s="170">
        <v>3</v>
      </c>
      <c r="C12" s="171" t="s">
        <v>143</v>
      </c>
      <c r="D12" s="172">
        <v>2</v>
      </c>
      <c r="E12" s="173" t="s">
        <v>140</v>
      </c>
      <c r="F12" s="176" t="s">
        <v>141</v>
      </c>
      <c r="G12" s="180">
        <v>0</v>
      </c>
      <c r="H12" s="170">
        <v>0</v>
      </c>
      <c r="I12" s="178" t="s">
        <v>141</v>
      </c>
    </row>
    <row r="13" spans="2:9" x14ac:dyDescent="0.3">
      <c r="B13" s="170">
        <v>4</v>
      </c>
      <c r="C13" s="171" t="s">
        <v>144</v>
      </c>
      <c r="D13" s="172">
        <v>2</v>
      </c>
      <c r="E13" s="173" t="s">
        <v>140</v>
      </c>
      <c r="F13" s="176" t="s">
        <v>141</v>
      </c>
      <c r="G13" s="180">
        <v>0</v>
      </c>
      <c r="H13" s="170">
        <v>0</v>
      </c>
      <c r="I13" s="178" t="s">
        <v>141</v>
      </c>
    </row>
    <row r="14" spans="2:9" x14ac:dyDescent="0.3">
      <c r="B14" s="170">
        <v>5</v>
      </c>
      <c r="C14" s="171" t="s">
        <v>145</v>
      </c>
      <c r="D14" s="172">
        <v>12</v>
      </c>
      <c r="E14" s="173" t="s">
        <v>140</v>
      </c>
      <c r="F14" s="176" t="s">
        <v>141</v>
      </c>
      <c r="G14" s="180">
        <v>0</v>
      </c>
      <c r="H14" s="170">
        <v>0</v>
      </c>
      <c r="I14" s="178" t="s">
        <v>141</v>
      </c>
    </row>
    <row r="15" spans="2:9" x14ac:dyDescent="0.3">
      <c r="B15" s="170">
        <v>6</v>
      </c>
      <c r="C15" s="171" t="s">
        <v>146</v>
      </c>
      <c r="D15" s="172">
        <v>12</v>
      </c>
      <c r="E15" s="173" t="s">
        <v>140</v>
      </c>
      <c r="F15" s="176" t="s">
        <v>141</v>
      </c>
      <c r="G15" s="180">
        <v>0</v>
      </c>
      <c r="H15" s="170">
        <v>0</v>
      </c>
      <c r="I15" s="178" t="s">
        <v>141</v>
      </c>
    </row>
    <row r="16" spans="2:9" x14ac:dyDescent="0.3">
      <c r="B16" s="170">
        <v>7</v>
      </c>
      <c r="C16" s="171" t="s">
        <v>147</v>
      </c>
      <c r="D16" s="172">
        <v>36</v>
      </c>
      <c r="E16" s="173" t="s">
        <v>140</v>
      </c>
      <c r="F16" s="174">
        <v>445944.95999999996</v>
      </c>
      <c r="G16" s="174">
        <f t="shared" ref="G16:G47" si="0">F16*107%</f>
        <v>477161.10719999997</v>
      </c>
      <c r="H16" s="170">
        <v>12</v>
      </c>
      <c r="I16" s="178"/>
    </row>
    <row r="17" spans="2:9" x14ac:dyDescent="0.3">
      <c r="B17" s="170">
        <v>8</v>
      </c>
      <c r="C17" s="171" t="s">
        <v>148</v>
      </c>
      <c r="D17" s="172">
        <v>60</v>
      </c>
      <c r="E17" s="173" t="s">
        <v>140</v>
      </c>
      <c r="F17" s="174">
        <v>397800</v>
      </c>
      <c r="G17" s="174">
        <f t="shared" si="0"/>
        <v>425646</v>
      </c>
      <c r="H17" s="170">
        <v>12</v>
      </c>
      <c r="I17" s="178"/>
    </row>
    <row r="18" spans="2:9" x14ac:dyDescent="0.3">
      <c r="B18" s="170">
        <v>9</v>
      </c>
      <c r="C18" s="171" t="s">
        <v>149</v>
      </c>
      <c r="D18" s="172">
        <v>60</v>
      </c>
      <c r="E18" s="173" t="s">
        <v>140</v>
      </c>
      <c r="F18" s="174">
        <v>153000</v>
      </c>
      <c r="G18" s="174">
        <f t="shared" si="0"/>
        <v>163710</v>
      </c>
      <c r="H18" s="170">
        <v>12</v>
      </c>
      <c r="I18" s="178"/>
    </row>
    <row r="19" spans="2:9" x14ac:dyDescent="0.3">
      <c r="B19" s="170">
        <v>10</v>
      </c>
      <c r="C19" s="171" t="s">
        <v>150</v>
      </c>
      <c r="D19" s="172">
        <v>12</v>
      </c>
      <c r="E19" s="173" t="s">
        <v>140</v>
      </c>
      <c r="F19" s="174">
        <v>1235676.96</v>
      </c>
      <c r="G19" s="174">
        <f t="shared" si="0"/>
        <v>1322174.3472</v>
      </c>
      <c r="H19" s="170">
        <v>12</v>
      </c>
      <c r="I19" s="178"/>
    </row>
    <row r="20" spans="2:9" x14ac:dyDescent="0.3">
      <c r="B20" s="170">
        <v>11</v>
      </c>
      <c r="C20" s="171" t="s">
        <v>151</v>
      </c>
      <c r="D20" s="172">
        <v>12</v>
      </c>
      <c r="E20" s="173" t="s">
        <v>140</v>
      </c>
      <c r="F20" s="174">
        <v>93600</v>
      </c>
      <c r="G20" s="174">
        <f t="shared" si="0"/>
        <v>100152</v>
      </c>
      <c r="H20" s="170">
        <v>12</v>
      </c>
      <c r="I20" s="178"/>
    </row>
    <row r="21" spans="2:9" x14ac:dyDescent="0.3">
      <c r="B21" s="170">
        <v>12</v>
      </c>
      <c r="C21" s="171" t="s">
        <v>152</v>
      </c>
      <c r="D21" s="172">
        <v>36</v>
      </c>
      <c r="E21" s="173" t="s">
        <v>140</v>
      </c>
      <c r="F21" s="174">
        <v>821793.6</v>
      </c>
      <c r="G21" s="174">
        <f t="shared" si="0"/>
        <v>879319.152</v>
      </c>
      <c r="H21" s="170">
        <v>12</v>
      </c>
      <c r="I21" s="178"/>
    </row>
    <row r="22" spans="2:9" x14ac:dyDescent="0.3">
      <c r="B22" s="170">
        <v>13</v>
      </c>
      <c r="C22" s="171" t="s">
        <v>153</v>
      </c>
      <c r="D22" s="172">
        <v>24</v>
      </c>
      <c r="E22" s="173" t="s">
        <v>140</v>
      </c>
      <c r="F22" s="174">
        <v>820719.35999999987</v>
      </c>
      <c r="G22" s="174">
        <f t="shared" si="0"/>
        <v>878169.71519999986</v>
      </c>
      <c r="H22" s="170">
        <v>12</v>
      </c>
      <c r="I22" s="178"/>
    </row>
    <row r="23" spans="2:9" x14ac:dyDescent="0.3">
      <c r="B23" s="170">
        <v>14</v>
      </c>
      <c r="C23" s="171" t="s">
        <v>154</v>
      </c>
      <c r="D23" s="172">
        <v>36</v>
      </c>
      <c r="E23" s="173" t="s">
        <v>140</v>
      </c>
      <c r="F23" s="174">
        <v>625613.76</v>
      </c>
      <c r="G23" s="174">
        <f t="shared" si="0"/>
        <v>669406.72320000001</v>
      </c>
      <c r="H23" s="170">
        <v>12</v>
      </c>
      <c r="I23" s="178"/>
    </row>
    <row r="24" spans="2:9" x14ac:dyDescent="0.3">
      <c r="B24" s="170">
        <v>15</v>
      </c>
      <c r="C24" s="171" t="s">
        <v>155</v>
      </c>
      <c r="D24" s="172">
        <v>12</v>
      </c>
      <c r="E24" s="173" t="s">
        <v>140</v>
      </c>
      <c r="F24" s="174">
        <v>1152000</v>
      </c>
      <c r="G24" s="174">
        <f t="shared" si="0"/>
        <v>1232640</v>
      </c>
      <c r="H24" s="170">
        <v>12</v>
      </c>
      <c r="I24" s="178"/>
    </row>
    <row r="25" spans="2:9" x14ac:dyDescent="0.3">
      <c r="B25" s="170">
        <v>16</v>
      </c>
      <c r="C25" s="171" t="s">
        <v>156</v>
      </c>
      <c r="D25" s="172">
        <v>48</v>
      </c>
      <c r="E25" s="173" t="s">
        <v>140</v>
      </c>
      <c r="F25" s="174">
        <v>402531.84000000003</v>
      </c>
      <c r="G25" s="174">
        <f t="shared" si="0"/>
        <v>430709.06880000007</v>
      </c>
      <c r="H25" s="170">
        <v>12</v>
      </c>
      <c r="I25" s="178"/>
    </row>
    <row r="26" spans="2:9" x14ac:dyDescent="0.3">
      <c r="B26" s="170">
        <v>17</v>
      </c>
      <c r="C26" s="171" t="s">
        <v>157</v>
      </c>
      <c r="D26" s="172">
        <v>48</v>
      </c>
      <c r="E26" s="173" t="s">
        <v>140</v>
      </c>
      <c r="F26" s="174">
        <v>207527.03999999998</v>
      </c>
      <c r="G26" s="174">
        <f t="shared" si="0"/>
        <v>222053.93279999998</v>
      </c>
      <c r="H26" s="170">
        <v>12</v>
      </c>
      <c r="I26" s="178"/>
    </row>
    <row r="27" spans="2:9" x14ac:dyDescent="0.3">
      <c r="B27" s="170">
        <v>18</v>
      </c>
      <c r="C27" s="171" t="s">
        <v>158</v>
      </c>
      <c r="D27" s="172">
        <v>24</v>
      </c>
      <c r="E27" s="173" t="s">
        <v>140</v>
      </c>
      <c r="F27" s="174">
        <v>82995.839999999997</v>
      </c>
      <c r="G27" s="174">
        <f t="shared" si="0"/>
        <v>88805.548800000004</v>
      </c>
      <c r="H27" s="170">
        <v>12</v>
      </c>
      <c r="I27" s="178"/>
    </row>
    <row r="28" spans="2:9" x14ac:dyDescent="0.3">
      <c r="B28" s="170">
        <v>19</v>
      </c>
      <c r="C28" s="171" t="s">
        <v>159</v>
      </c>
      <c r="D28" s="172">
        <v>24</v>
      </c>
      <c r="E28" s="173" t="s">
        <v>140</v>
      </c>
      <c r="F28" s="174">
        <v>120000</v>
      </c>
      <c r="G28" s="174">
        <f t="shared" si="0"/>
        <v>128400.00000000001</v>
      </c>
      <c r="H28" s="170">
        <v>12</v>
      </c>
      <c r="I28" s="178"/>
    </row>
    <row r="29" spans="2:9" x14ac:dyDescent="0.3">
      <c r="B29" s="170">
        <v>20</v>
      </c>
      <c r="C29" s="171" t="s">
        <v>160</v>
      </c>
      <c r="D29" s="172">
        <v>24</v>
      </c>
      <c r="E29" s="173" t="s">
        <v>140</v>
      </c>
      <c r="F29" s="174">
        <v>830119.68</v>
      </c>
      <c r="G29" s="174">
        <f t="shared" si="0"/>
        <v>888228.05760000006</v>
      </c>
      <c r="H29" s="170">
        <v>12</v>
      </c>
      <c r="I29" s="178"/>
    </row>
    <row r="30" spans="2:9" x14ac:dyDescent="0.3">
      <c r="B30" s="170">
        <v>21</v>
      </c>
      <c r="C30" s="171" t="s">
        <v>161</v>
      </c>
      <c r="D30" s="172">
        <v>60</v>
      </c>
      <c r="E30" s="173" t="s">
        <v>140</v>
      </c>
      <c r="F30" s="174">
        <v>180000</v>
      </c>
      <c r="G30" s="174">
        <f t="shared" si="0"/>
        <v>192600</v>
      </c>
      <c r="H30" s="170">
        <v>12</v>
      </c>
      <c r="I30" s="178"/>
    </row>
    <row r="31" spans="2:9" x14ac:dyDescent="0.3">
      <c r="B31" s="170">
        <v>22</v>
      </c>
      <c r="C31" s="171" t="s">
        <v>162</v>
      </c>
      <c r="D31" s="172">
        <v>24</v>
      </c>
      <c r="E31" s="173" t="s">
        <v>140</v>
      </c>
      <c r="F31" s="174">
        <v>227471.03999999998</v>
      </c>
      <c r="G31" s="174">
        <f t="shared" si="0"/>
        <v>243394.0128</v>
      </c>
      <c r="H31" s="170">
        <v>12</v>
      </c>
      <c r="I31" s="178"/>
    </row>
    <row r="32" spans="2:9" x14ac:dyDescent="0.3">
      <c r="B32" s="170">
        <v>23</v>
      </c>
      <c r="C32" s="171" t="s">
        <v>163</v>
      </c>
      <c r="D32" s="172">
        <v>24</v>
      </c>
      <c r="E32" s="173" t="s">
        <v>140</v>
      </c>
      <c r="F32" s="174">
        <v>2014848</v>
      </c>
      <c r="G32" s="174">
        <f t="shared" si="0"/>
        <v>2155887.3600000003</v>
      </c>
      <c r="H32" s="170">
        <v>12</v>
      </c>
      <c r="I32" s="178"/>
    </row>
    <row r="33" spans="2:9" x14ac:dyDescent="0.3">
      <c r="B33" s="170">
        <v>24</v>
      </c>
      <c r="C33" s="171" t="s">
        <v>164</v>
      </c>
      <c r="D33" s="172">
        <v>24</v>
      </c>
      <c r="E33" s="173" t="s">
        <v>140</v>
      </c>
      <c r="F33" s="174">
        <v>335701.44</v>
      </c>
      <c r="G33" s="174">
        <f t="shared" si="0"/>
        <v>359200.54080000002</v>
      </c>
      <c r="H33" s="170">
        <v>12</v>
      </c>
      <c r="I33" s="178"/>
    </row>
    <row r="34" spans="2:9" x14ac:dyDescent="0.3">
      <c r="B34" s="170">
        <v>25</v>
      </c>
      <c r="C34" s="171" t="s">
        <v>165</v>
      </c>
      <c r="D34" s="172">
        <v>72</v>
      </c>
      <c r="E34" s="173" t="s">
        <v>140</v>
      </c>
      <c r="F34" s="174">
        <v>788114.87999999989</v>
      </c>
      <c r="G34" s="174">
        <f t="shared" si="0"/>
        <v>843282.92159999989</v>
      </c>
      <c r="H34" s="170">
        <v>12</v>
      </c>
      <c r="I34" s="178"/>
    </row>
    <row r="35" spans="2:9" x14ac:dyDescent="0.3">
      <c r="B35" s="170">
        <v>26</v>
      </c>
      <c r="C35" s="171" t="s">
        <v>166</v>
      </c>
      <c r="D35" s="172">
        <v>24</v>
      </c>
      <c r="E35" s="173" t="s">
        <v>140</v>
      </c>
      <c r="F35" s="174">
        <v>43200</v>
      </c>
      <c r="G35" s="174">
        <f t="shared" si="0"/>
        <v>46224</v>
      </c>
      <c r="H35" s="170">
        <v>12</v>
      </c>
      <c r="I35" s="178"/>
    </row>
    <row r="36" spans="2:9" x14ac:dyDescent="0.3">
      <c r="B36" s="170">
        <v>27</v>
      </c>
      <c r="C36" s="171" t="s">
        <v>167</v>
      </c>
      <c r="D36" s="172">
        <v>348</v>
      </c>
      <c r="E36" s="173" t="s">
        <v>140</v>
      </c>
      <c r="F36" s="174">
        <v>250560</v>
      </c>
      <c r="G36" s="174">
        <f t="shared" si="0"/>
        <v>268099.20000000001</v>
      </c>
      <c r="H36" s="170">
        <v>12</v>
      </c>
      <c r="I36" s="178"/>
    </row>
    <row r="37" spans="2:9" x14ac:dyDescent="0.3">
      <c r="B37" s="170">
        <v>28</v>
      </c>
      <c r="C37" s="171" t="s">
        <v>168</v>
      </c>
      <c r="D37" s="172">
        <v>24</v>
      </c>
      <c r="E37" s="173" t="s">
        <v>140</v>
      </c>
      <c r="F37" s="174">
        <v>642240</v>
      </c>
      <c r="G37" s="174">
        <f t="shared" si="0"/>
        <v>687196.8</v>
      </c>
      <c r="H37" s="170">
        <v>12</v>
      </c>
      <c r="I37" s="178"/>
    </row>
    <row r="38" spans="2:9" x14ac:dyDescent="0.3">
      <c r="B38" s="170">
        <v>29</v>
      </c>
      <c r="C38" s="171" t="s">
        <v>169</v>
      </c>
      <c r="D38" s="172">
        <v>120</v>
      </c>
      <c r="E38" s="173" t="s">
        <v>140</v>
      </c>
      <c r="F38" s="174">
        <v>964800</v>
      </c>
      <c r="G38" s="174">
        <f t="shared" si="0"/>
        <v>1032336.0000000001</v>
      </c>
      <c r="H38" s="170">
        <v>12</v>
      </c>
      <c r="I38" s="178"/>
    </row>
    <row r="39" spans="2:9" x14ac:dyDescent="0.3">
      <c r="B39" s="170">
        <v>30</v>
      </c>
      <c r="C39" s="171" t="s">
        <v>170</v>
      </c>
      <c r="D39" s="172">
        <v>156</v>
      </c>
      <c r="E39" s="173" t="s">
        <v>140</v>
      </c>
      <c r="F39" s="174">
        <v>372611.92800000001</v>
      </c>
      <c r="G39" s="174">
        <f t="shared" si="0"/>
        <v>398694.76296000002</v>
      </c>
      <c r="H39" s="170">
        <v>12</v>
      </c>
      <c r="I39" s="178"/>
    </row>
    <row r="40" spans="2:9" x14ac:dyDescent="0.3">
      <c r="B40" s="170">
        <v>31</v>
      </c>
      <c r="C40" s="171" t="s">
        <v>171</v>
      </c>
      <c r="D40" s="172">
        <v>60</v>
      </c>
      <c r="E40" s="173" t="s">
        <v>140</v>
      </c>
      <c r="F40" s="174">
        <v>208800</v>
      </c>
      <c r="G40" s="174">
        <f t="shared" si="0"/>
        <v>223416</v>
      </c>
      <c r="H40" s="170">
        <v>12</v>
      </c>
      <c r="I40" s="178"/>
    </row>
    <row r="41" spans="2:9" x14ac:dyDescent="0.3">
      <c r="B41" s="170">
        <v>32</v>
      </c>
      <c r="C41" s="171" t="s">
        <v>172</v>
      </c>
      <c r="D41" s="172">
        <v>36</v>
      </c>
      <c r="E41" s="173" t="s">
        <v>140</v>
      </c>
      <c r="F41" s="174">
        <v>32400</v>
      </c>
      <c r="G41" s="174">
        <f t="shared" si="0"/>
        <v>34668</v>
      </c>
      <c r="H41" s="170">
        <v>12</v>
      </c>
      <c r="I41" s="178"/>
    </row>
    <row r="42" spans="2:9" x14ac:dyDescent="0.3">
      <c r="B42" s="170">
        <v>33</v>
      </c>
      <c r="C42" s="171" t="s">
        <v>173</v>
      </c>
      <c r="D42" s="172">
        <v>36</v>
      </c>
      <c r="E42" s="173" t="s">
        <v>140</v>
      </c>
      <c r="F42" s="174">
        <v>77760</v>
      </c>
      <c r="G42" s="174">
        <f t="shared" si="0"/>
        <v>83203.200000000012</v>
      </c>
      <c r="H42" s="170">
        <v>12</v>
      </c>
      <c r="I42" s="178"/>
    </row>
    <row r="43" spans="2:9" x14ac:dyDescent="0.3">
      <c r="B43" s="170">
        <v>34</v>
      </c>
      <c r="C43" s="171" t="s">
        <v>174</v>
      </c>
      <c r="D43" s="172">
        <v>60</v>
      </c>
      <c r="E43" s="173" t="s">
        <v>140</v>
      </c>
      <c r="F43" s="174">
        <v>228993.48000000004</v>
      </c>
      <c r="G43" s="174">
        <f t="shared" si="0"/>
        <v>245023.02360000004</v>
      </c>
      <c r="H43" s="170">
        <v>12</v>
      </c>
      <c r="I43" s="178"/>
    </row>
    <row r="44" spans="2:9" x14ac:dyDescent="0.3">
      <c r="B44" s="170">
        <v>35</v>
      </c>
      <c r="C44" s="171" t="s">
        <v>175</v>
      </c>
      <c r="D44" s="172">
        <v>72</v>
      </c>
      <c r="E44" s="173" t="s">
        <v>140</v>
      </c>
      <c r="F44" s="174">
        <v>136857.60000000001</v>
      </c>
      <c r="G44" s="174">
        <f t="shared" si="0"/>
        <v>146437.63200000001</v>
      </c>
      <c r="H44" s="170">
        <v>12</v>
      </c>
      <c r="I44" s="178"/>
    </row>
    <row r="45" spans="2:9" x14ac:dyDescent="0.3">
      <c r="B45" s="170">
        <v>36</v>
      </c>
      <c r="C45" s="171" t="s">
        <v>176</v>
      </c>
      <c r="D45" s="172">
        <v>36</v>
      </c>
      <c r="E45" s="173" t="s">
        <v>140</v>
      </c>
      <c r="F45" s="174">
        <v>203160.95999999999</v>
      </c>
      <c r="G45" s="174">
        <f t="shared" si="0"/>
        <v>217382.22719999999</v>
      </c>
      <c r="H45" s="170">
        <v>12</v>
      </c>
      <c r="I45" s="178"/>
    </row>
    <row r="46" spans="2:9" x14ac:dyDescent="0.3">
      <c r="B46" s="170">
        <v>37</v>
      </c>
      <c r="C46" s="171" t="s">
        <v>177</v>
      </c>
      <c r="D46" s="172">
        <v>24</v>
      </c>
      <c r="E46" s="173" t="s">
        <v>140</v>
      </c>
      <c r="F46" s="174">
        <v>24192</v>
      </c>
      <c r="G46" s="174">
        <f t="shared" si="0"/>
        <v>25885.440000000002</v>
      </c>
      <c r="H46" s="170">
        <v>12</v>
      </c>
      <c r="I46" s="178"/>
    </row>
    <row r="47" spans="2:9" x14ac:dyDescent="0.3">
      <c r="B47" s="170">
        <v>38</v>
      </c>
      <c r="C47" s="171" t="s">
        <v>178</v>
      </c>
      <c r="D47" s="172">
        <v>36</v>
      </c>
      <c r="E47" s="173" t="s">
        <v>140</v>
      </c>
      <c r="F47" s="174">
        <v>32400</v>
      </c>
      <c r="G47" s="174">
        <f t="shared" si="0"/>
        <v>34668</v>
      </c>
      <c r="H47" s="170">
        <v>12</v>
      </c>
      <c r="I47" s="178"/>
    </row>
    <row r="48" spans="2:9" x14ac:dyDescent="0.3">
      <c r="B48" s="170">
        <v>39</v>
      </c>
      <c r="C48" s="171" t="s">
        <v>179</v>
      </c>
      <c r="D48" s="172">
        <v>36</v>
      </c>
      <c r="E48" s="173" t="s">
        <v>140</v>
      </c>
      <c r="F48" s="174">
        <v>77760</v>
      </c>
      <c r="G48" s="174">
        <f t="shared" ref="G48:G79" si="1">F48*107%</f>
        <v>83203.200000000012</v>
      </c>
      <c r="H48" s="170">
        <v>12</v>
      </c>
      <c r="I48" s="178"/>
    </row>
    <row r="49" spans="2:9" x14ac:dyDescent="0.3">
      <c r="B49" s="170">
        <v>40</v>
      </c>
      <c r="C49" s="171" t="s">
        <v>180</v>
      </c>
      <c r="D49" s="172">
        <v>168</v>
      </c>
      <c r="E49" s="173" t="s">
        <v>140</v>
      </c>
      <c r="F49" s="174">
        <v>119952</v>
      </c>
      <c r="G49" s="174">
        <f t="shared" si="1"/>
        <v>128348.64000000001</v>
      </c>
      <c r="H49" s="170">
        <v>12</v>
      </c>
      <c r="I49" s="178"/>
    </row>
    <row r="50" spans="2:9" x14ac:dyDescent="0.3">
      <c r="B50" s="170">
        <v>41</v>
      </c>
      <c r="C50" s="171" t="s">
        <v>181</v>
      </c>
      <c r="D50" s="172">
        <v>96</v>
      </c>
      <c r="E50" s="173" t="s">
        <v>140</v>
      </c>
      <c r="F50" s="174">
        <v>203386.36800000002</v>
      </c>
      <c r="G50" s="174">
        <f t="shared" si="1"/>
        <v>217623.41376000002</v>
      </c>
      <c r="H50" s="170">
        <v>12</v>
      </c>
      <c r="I50" s="178"/>
    </row>
    <row r="51" spans="2:9" x14ac:dyDescent="0.3">
      <c r="B51" s="170">
        <v>42</v>
      </c>
      <c r="C51" s="171" t="s">
        <v>182</v>
      </c>
      <c r="D51" s="172">
        <v>72</v>
      </c>
      <c r="E51" s="173" t="s">
        <v>140</v>
      </c>
      <c r="F51" s="174">
        <v>162397.79999999999</v>
      </c>
      <c r="G51" s="174">
        <f t="shared" si="1"/>
        <v>173765.64600000001</v>
      </c>
      <c r="H51" s="170">
        <v>12</v>
      </c>
      <c r="I51" s="178"/>
    </row>
    <row r="52" spans="2:9" x14ac:dyDescent="0.3">
      <c r="B52" s="170">
        <v>43</v>
      </c>
      <c r="C52" s="171" t="s">
        <v>183</v>
      </c>
      <c r="D52" s="172">
        <v>96</v>
      </c>
      <c r="E52" s="173" t="s">
        <v>140</v>
      </c>
      <c r="F52" s="174">
        <v>219919.77600000001</v>
      </c>
      <c r="G52" s="174">
        <f t="shared" si="1"/>
        <v>235314.16032000002</v>
      </c>
      <c r="H52" s="170">
        <v>12</v>
      </c>
      <c r="I52" s="178"/>
    </row>
    <row r="53" spans="2:9" x14ac:dyDescent="0.3">
      <c r="B53" s="170">
        <v>44</v>
      </c>
      <c r="C53" s="171" t="s">
        <v>184</v>
      </c>
      <c r="D53" s="172">
        <v>36</v>
      </c>
      <c r="E53" s="173" t="s">
        <v>140</v>
      </c>
      <c r="F53" s="174">
        <v>103638.024</v>
      </c>
      <c r="G53" s="174">
        <f t="shared" si="1"/>
        <v>110892.68568000001</v>
      </c>
      <c r="H53" s="170">
        <v>12</v>
      </c>
      <c r="I53" s="178"/>
    </row>
    <row r="54" spans="2:9" x14ac:dyDescent="0.3">
      <c r="B54" s="170">
        <v>45</v>
      </c>
      <c r="C54" s="171" t="s">
        <v>185</v>
      </c>
      <c r="D54" s="172">
        <v>12</v>
      </c>
      <c r="E54" s="173" t="s">
        <v>140</v>
      </c>
      <c r="F54" s="174">
        <v>79200</v>
      </c>
      <c r="G54" s="174">
        <f t="shared" si="1"/>
        <v>84744</v>
      </c>
      <c r="H54" s="170">
        <v>12</v>
      </c>
      <c r="I54" s="178"/>
    </row>
    <row r="55" spans="2:9" x14ac:dyDescent="0.3">
      <c r="B55" s="170">
        <v>46</v>
      </c>
      <c r="C55" s="171" t="s">
        <v>186</v>
      </c>
      <c r="D55" s="172">
        <v>60</v>
      </c>
      <c r="E55" s="173" t="s">
        <v>140</v>
      </c>
      <c r="F55" s="174">
        <v>276274.08</v>
      </c>
      <c r="G55" s="174">
        <f t="shared" si="1"/>
        <v>295613.26560000004</v>
      </c>
      <c r="H55" s="170">
        <v>12</v>
      </c>
      <c r="I55" s="178"/>
    </row>
    <row r="56" spans="2:9" x14ac:dyDescent="0.3">
      <c r="B56" s="170">
        <v>47</v>
      </c>
      <c r="C56" s="171" t="s">
        <v>187</v>
      </c>
      <c r="D56" s="172">
        <v>36</v>
      </c>
      <c r="E56" s="173" t="s">
        <v>140</v>
      </c>
      <c r="F56" s="174">
        <v>198392.61599999998</v>
      </c>
      <c r="G56" s="174">
        <f t="shared" si="1"/>
        <v>212280.09912</v>
      </c>
      <c r="H56" s="170">
        <v>12</v>
      </c>
      <c r="I56" s="178"/>
    </row>
    <row r="57" spans="2:9" x14ac:dyDescent="0.3">
      <c r="B57" s="170">
        <v>48</v>
      </c>
      <c r="C57" s="171" t="s">
        <v>188</v>
      </c>
      <c r="D57" s="172">
        <v>48</v>
      </c>
      <c r="E57" s="173" t="s">
        <v>140</v>
      </c>
      <c r="F57" s="174">
        <v>629333.32799999998</v>
      </c>
      <c r="G57" s="174">
        <f t="shared" si="1"/>
        <v>673386.66096000001</v>
      </c>
      <c r="H57" s="170">
        <v>12</v>
      </c>
      <c r="I57" s="178"/>
    </row>
    <row r="58" spans="2:9" x14ac:dyDescent="0.3">
      <c r="B58" s="170">
        <v>49</v>
      </c>
      <c r="C58" s="171" t="s">
        <v>189</v>
      </c>
      <c r="D58" s="172">
        <v>24</v>
      </c>
      <c r="E58" s="173" t="s">
        <v>140</v>
      </c>
      <c r="F58" s="174">
        <v>392092.68000000005</v>
      </c>
      <c r="G58" s="174">
        <f t="shared" si="1"/>
        <v>419539.1676000001</v>
      </c>
      <c r="H58" s="170">
        <v>12</v>
      </c>
      <c r="I58" s="178"/>
    </row>
    <row r="59" spans="2:9" x14ac:dyDescent="0.3">
      <c r="B59" s="170">
        <v>50</v>
      </c>
      <c r="C59" s="171" t="s">
        <v>190</v>
      </c>
      <c r="D59" s="172">
        <v>168</v>
      </c>
      <c r="E59" s="173" t="s">
        <v>140</v>
      </c>
      <c r="F59" s="174">
        <v>4032000</v>
      </c>
      <c r="G59" s="174">
        <f t="shared" si="1"/>
        <v>4314240</v>
      </c>
      <c r="H59" s="170">
        <v>12</v>
      </c>
      <c r="I59" s="178"/>
    </row>
    <row r="60" spans="2:9" x14ac:dyDescent="0.3">
      <c r="B60" s="170">
        <v>51</v>
      </c>
      <c r="C60" s="171" t="s">
        <v>191</v>
      </c>
      <c r="D60" s="172">
        <v>216</v>
      </c>
      <c r="E60" s="173" t="s">
        <v>140</v>
      </c>
      <c r="F60" s="174">
        <v>302400</v>
      </c>
      <c r="G60" s="174">
        <f t="shared" si="1"/>
        <v>323568</v>
      </c>
      <c r="H60" s="170">
        <v>12</v>
      </c>
      <c r="I60" s="178"/>
    </row>
    <row r="61" spans="2:9" x14ac:dyDescent="0.3">
      <c r="B61" s="170">
        <v>52</v>
      </c>
      <c r="C61" s="171" t="s">
        <v>192</v>
      </c>
      <c r="D61" s="172">
        <v>36</v>
      </c>
      <c r="E61" s="173" t="s">
        <v>140</v>
      </c>
      <c r="F61" s="174">
        <v>148569.12</v>
      </c>
      <c r="G61" s="174">
        <f t="shared" si="1"/>
        <v>158968.9584</v>
      </c>
      <c r="H61" s="170">
        <v>12</v>
      </c>
      <c r="I61" s="178"/>
    </row>
    <row r="62" spans="2:9" x14ac:dyDescent="0.3">
      <c r="B62" s="170">
        <v>53</v>
      </c>
      <c r="C62" s="171" t="s">
        <v>193</v>
      </c>
      <c r="D62" s="172">
        <v>48</v>
      </c>
      <c r="E62" s="173" t="s">
        <v>140</v>
      </c>
      <c r="F62" s="174">
        <v>158072.11200000002</v>
      </c>
      <c r="G62" s="174">
        <f t="shared" si="1"/>
        <v>169137.15984000004</v>
      </c>
      <c r="H62" s="170">
        <v>12</v>
      </c>
      <c r="I62" s="178"/>
    </row>
    <row r="63" spans="2:9" x14ac:dyDescent="0.3">
      <c r="B63" s="170">
        <v>54</v>
      </c>
      <c r="C63" s="171" t="s">
        <v>194</v>
      </c>
      <c r="D63" s="172">
        <v>36</v>
      </c>
      <c r="E63" s="173" t="s">
        <v>140</v>
      </c>
      <c r="F63" s="174">
        <v>109461.6</v>
      </c>
      <c r="G63" s="174">
        <f t="shared" si="1"/>
        <v>117123.91200000001</v>
      </c>
      <c r="H63" s="170">
        <v>12</v>
      </c>
      <c r="I63" s="178"/>
    </row>
    <row r="64" spans="2:9" x14ac:dyDescent="0.3">
      <c r="B64" s="170">
        <v>55</v>
      </c>
      <c r="C64" s="171" t="s">
        <v>195</v>
      </c>
      <c r="D64" s="172">
        <v>60</v>
      </c>
      <c r="E64" s="173" t="s">
        <v>140</v>
      </c>
      <c r="F64" s="174">
        <v>267370.98000000004</v>
      </c>
      <c r="G64" s="174">
        <f t="shared" si="1"/>
        <v>286086.94860000006</v>
      </c>
      <c r="H64" s="170">
        <v>12</v>
      </c>
      <c r="I64" s="178"/>
    </row>
    <row r="65" spans="2:9" x14ac:dyDescent="0.3">
      <c r="B65" s="170">
        <v>56</v>
      </c>
      <c r="C65" s="171" t="s">
        <v>196</v>
      </c>
      <c r="D65" s="172">
        <v>24</v>
      </c>
      <c r="E65" s="173" t="s">
        <v>140</v>
      </c>
      <c r="F65" s="174">
        <v>238705.92000000001</v>
      </c>
      <c r="G65" s="174">
        <f t="shared" si="1"/>
        <v>255415.33440000002</v>
      </c>
      <c r="H65" s="170">
        <v>12</v>
      </c>
      <c r="I65" s="178"/>
    </row>
    <row r="66" spans="2:9" x14ac:dyDescent="0.3">
      <c r="B66" s="170">
        <v>57</v>
      </c>
      <c r="C66" s="171" t="s">
        <v>197</v>
      </c>
      <c r="D66" s="172">
        <v>48</v>
      </c>
      <c r="E66" s="173" t="s">
        <v>140</v>
      </c>
      <c r="F66" s="174">
        <v>615006.71999999997</v>
      </c>
      <c r="G66" s="174">
        <f t="shared" si="1"/>
        <v>658057.19039999996</v>
      </c>
      <c r="H66" s="170">
        <v>12</v>
      </c>
      <c r="I66" s="178"/>
    </row>
    <row r="67" spans="2:9" x14ac:dyDescent="0.3">
      <c r="B67" s="170">
        <v>58</v>
      </c>
      <c r="C67" s="171" t="s">
        <v>198</v>
      </c>
      <c r="D67" s="172">
        <v>48</v>
      </c>
      <c r="E67" s="173" t="s">
        <v>140</v>
      </c>
      <c r="F67" s="174">
        <v>591373.43999999994</v>
      </c>
      <c r="G67" s="174">
        <f t="shared" si="1"/>
        <v>632769.5808</v>
      </c>
      <c r="H67" s="170">
        <v>12</v>
      </c>
      <c r="I67" s="178"/>
    </row>
    <row r="68" spans="2:9" x14ac:dyDescent="0.3">
      <c r="B68" s="170">
        <v>59</v>
      </c>
      <c r="C68" s="171" t="s">
        <v>199</v>
      </c>
      <c r="D68" s="172">
        <v>36</v>
      </c>
      <c r="E68" s="173" t="s">
        <v>140</v>
      </c>
      <c r="F68" s="174">
        <v>112320</v>
      </c>
      <c r="G68" s="174">
        <f t="shared" si="1"/>
        <v>120182.40000000001</v>
      </c>
      <c r="H68" s="170">
        <v>12</v>
      </c>
      <c r="I68" s="178"/>
    </row>
    <row r="69" spans="2:9" x14ac:dyDescent="0.3">
      <c r="B69" s="170">
        <v>60</v>
      </c>
      <c r="C69" s="181" t="s">
        <v>200</v>
      </c>
      <c r="D69" s="172">
        <v>60</v>
      </c>
      <c r="E69" s="173" t="s">
        <v>140</v>
      </c>
      <c r="F69" s="182">
        <v>0</v>
      </c>
      <c r="G69" s="179">
        <f t="shared" si="1"/>
        <v>0</v>
      </c>
      <c r="H69" s="170">
        <v>12</v>
      </c>
      <c r="I69" s="178" t="s">
        <v>141</v>
      </c>
    </row>
    <row r="70" spans="2:9" x14ac:dyDescent="0.3">
      <c r="B70" s="170">
        <v>61</v>
      </c>
      <c r="C70" s="181" t="s">
        <v>201</v>
      </c>
      <c r="D70" s="172">
        <v>60</v>
      </c>
      <c r="E70" s="173" t="s">
        <v>140</v>
      </c>
      <c r="F70" s="182">
        <v>0</v>
      </c>
      <c r="G70" s="179">
        <f t="shared" si="1"/>
        <v>0</v>
      </c>
      <c r="H70" s="170">
        <v>12</v>
      </c>
      <c r="I70" s="178" t="s">
        <v>141</v>
      </c>
    </row>
    <row r="71" spans="2:9" x14ac:dyDescent="0.3">
      <c r="B71" s="170">
        <v>62</v>
      </c>
      <c r="C71" s="181" t="s">
        <v>202</v>
      </c>
      <c r="D71" s="172">
        <v>60</v>
      </c>
      <c r="E71" s="173" t="s">
        <v>140</v>
      </c>
      <c r="F71" s="182">
        <v>0</v>
      </c>
      <c r="G71" s="179">
        <f t="shared" si="1"/>
        <v>0</v>
      </c>
      <c r="H71" s="170">
        <v>12</v>
      </c>
      <c r="I71" s="178" t="s">
        <v>141</v>
      </c>
    </row>
    <row r="72" spans="2:9" x14ac:dyDescent="0.3">
      <c r="B72" s="170">
        <v>63</v>
      </c>
      <c r="C72" s="181" t="s">
        <v>203</v>
      </c>
      <c r="D72" s="172">
        <v>24</v>
      </c>
      <c r="E72" s="173" t="s">
        <v>140</v>
      </c>
      <c r="F72" s="182">
        <v>300974.40000000002</v>
      </c>
      <c r="G72" s="182">
        <f t="shared" si="1"/>
        <v>322042.60800000007</v>
      </c>
      <c r="H72" s="170">
        <v>12</v>
      </c>
      <c r="I72" s="178"/>
    </row>
    <row r="73" spans="2:9" x14ac:dyDescent="0.3">
      <c r="B73" s="170">
        <v>64</v>
      </c>
      <c r="C73" s="181" t="s">
        <v>204</v>
      </c>
      <c r="D73" s="172">
        <v>24</v>
      </c>
      <c r="E73" s="173" t="s">
        <v>140</v>
      </c>
      <c r="F73" s="182">
        <v>282162.24</v>
      </c>
      <c r="G73" s="182">
        <f t="shared" si="1"/>
        <v>301913.5968</v>
      </c>
      <c r="H73" s="170">
        <v>12</v>
      </c>
      <c r="I73" s="178"/>
    </row>
    <row r="74" spans="2:9" x14ac:dyDescent="0.3">
      <c r="B74" s="170">
        <v>65</v>
      </c>
      <c r="C74" s="181" t="s">
        <v>205</v>
      </c>
      <c r="D74" s="172">
        <v>96</v>
      </c>
      <c r="E74" s="173" t="s">
        <v>140</v>
      </c>
      <c r="F74" s="182">
        <v>1166400</v>
      </c>
      <c r="G74" s="182">
        <f t="shared" si="1"/>
        <v>1248048</v>
      </c>
      <c r="H74" s="170">
        <v>12</v>
      </c>
      <c r="I74" s="178"/>
    </row>
    <row r="75" spans="2:9" x14ac:dyDescent="0.3">
      <c r="B75" s="170">
        <v>66</v>
      </c>
      <c r="C75" s="181" t="s">
        <v>206</v>
      </c>
      <c r="D75" s="172">
        <v>36</v>
      </c>
      <c r="E75" s="173" t="s">
        <v>140</v>
      </c>
      <c r="F75" s="182">
        <v>790560</v>
      </c>
      <c r="G75" s="182">
        <f t="shared" si="1"/>
        <v>845899.20000000007</v>
      </c>
      <c r="H75" s="170">
        <v>12</v>
      </c>
      <c r="I75" s="178"/>
    </row>
    <row r="76" spans="2:9" x14ac:dyDescent="0.3">
      <c r="B76" s="170">
        <v>67</v>
      </c>
      <c r="C76" s="181" t="s">
        <v>207</v>
      </c>
      <c r="D76" s="172">
        <v>72</v>
      </c>
      <c r="E76" s="173" t="s">
        <v>140</v>
      </c>
      <c r="F76" s="182">
        <v>874800</v>
      </c>
      <c r="G76" s="182">
        <f t="shared" si="1"/>
        <v>936036</v>
      </c>
      <c r="H76" s="170">
        <v>12</v>
      </c>
      <c r="I76" s="178"/>
    </row>
    <row r="77" spans="2:9" x14ac:dyDescent="0.3">
      <c r="B77" s="170">
        <v>68</v>
      </c>
      <c r="C77" s="171" t="s">
        <v>208</v>
      </c>
      <c r="D77" s="172">
        <v>24</v>
      </c>
      <c r="E77" s="173" t="s">
        <v>140</v>
      </c>
      <c r="F77" s="174">
        <v>342720</v>
      </c>
      <c r="G77" s="174">
        <f t="shared" si="1"/>
        <v>366710.4</v>
      </c>
      <c r="H77" s="170">
        <v>12</v>
      </c>
      <c r="I77" s="178"/>
    </row>
    <row r="78" spans="2:9" x14ac:dyDescent="0.3">
      <c r="B78" s="170">
        <v>69</v>
      </c>
      <c r="C78" s="171" t="s">
        <v>209</v>
      </c>
      <c r="D78" s="172">
        <v>84</v>
      </c>
      <c r="E78" s="173" t="s">
        <v>140</v>
      </c>
      <c r="F78" s="174">
        <v>522617.75999999989</v>
      </c>
      <c r="G78" s="174">
        <f t="shared" si="1"/>
        <v>559201.00319999992</v>
      </c>
      <c r="H78" s="170">
        <v>12</v>
      </c>
      <c r="I78" s="178"/>
    </row>
    <row r="79" spans="2:9" x14ac:dyDescent="0.3">
      <c r="B79" s="170">
        <v>70</v>
      </c>
      <c r="C79" s="171" t="s">
        <v>210</v>
      </c>
      <c r="D79" s="172">
        <v>84</v>
      </c>
      <c r="E79" s="173" t="s">
        <v>140</v>
      </c>
      <c r="F79" s="174">
        <v>252000</v>
      </c>
      <c r="G79" s="174">
        <f t="shared" si="1"/>
        <v>269640</v>
      </c>
      <c r="H79" s="170">
        <v>12</v>
      </c>
      <c r="I79" s="178"/>
    </row>
    <row r="80" spans="2:9" x14ac:dyDescent="0.3">
      <c r="B80" s="170">
        <v>71</v>
      </c>
      <c r="C80" s="171" t="s">
        <v>211</v>
      </c>
      <c r="D80" s="172">
        <v>84</v>
      </c>
      <c r="E80" s="173" t="s">
        <v>140</v>
      </c>
      <c r="F80" s="174">
        <v>621321.12000000011</v>
      </c>
      <c r="G80" s="174">
        <f t="shared" ref="G80:G111" si="2">F80*107%</f>
        <v>664813.59840000013</v>
      </c>
      <c r="H80" s="170">
        <v>12</v>
      </c>
      <c r="I80" s="178"/>
    </row>
    <row r="81" spans="2:9" x14ac:dyDescent="0.3">
      <c r="B81" s="170">
        <v>72</v>
      </c>
      <c r="C81" s="171" t="s">
        <v>212</v>
      </c>
      <c r="D81" s="172">
        <v>36</v>
      </c>
      <c r="E81" s="173" t="s">
        <v>140</v>
      </c>
      <c r="F81" s="174">
        <v>788110.56</v>
      </c>
      <c r="G81" s="174">
        <f t="shared" si="2"/>
        <v>843278.29920000012</v>
      </c>
      <c r="H81" s="170">
        <v>12</v>
      </c>
      <c r="I81" s="178"/>
    </row>
    <row r="82" spans="2:9" x14ac:dyDescent="0.3">
      <c r="B82" s="170">
        <v>73</v>
      </c>
      <c r="C82" s="171" t="s">
        <v>213</v>
      </c>
      <c r="D82" s="172">
        <v>84</v>
      </c>
      <c r="E82" s="173" t="s">
        <v>140</v>
      </c>
      <c r="F82" s="174">
        <v>510814.07999999996</v>
      </c>
      <c r="G82" s="174">
        <f t="shared" si="2"/>
        <v>546571.06559999997</v>
      </c>
      <c r="H82" s="170">
        <v>12</v>
      </c>
      <c r="I82" s="178"/>
    </row>
    <row r="83" spans="2:9" x14ac:dyDescent="0.3">
      <c r="B83" s="170">
        <v>74</v>
      </c>
      <c r="C83" s="171" t="s">
        <v>214</v>
      </c>
      <c r="D83" s="172">
        <v>72</v>
      </c>
      <c r="E83" s="173" t="s">
        <v>140</v>
      </c>
      <c r="F83" s="174">
        <v>738815.03999999992</v>
      </c>
      <c r="G83" s="174">
        <f t="shared" si="2"/>
        <v>790532.09279999998</v>
      </c>
      <c r="H83" s="170">
        <v>12</v>
      </c>
      <c r="I83" s="178"/>
    </row>
    <row r="84" spans="2:9" x14ac:dyDescent="0.3">
      <c r="B84" s="170">
        <v>75</v>
      </c>
      <c r="C84" s="171" t="s">
        <v>215</v>
      </c>
      <c r="D84" s="172">
        <v>36</v>
      </c>
      <c r="E84" s="173" t="s">
        <v>140</v>
      </c>
      <c r="F84" s="174">
        <v>324000</v>
      </c>
      <c r="G84" s="174">
        <f t="shared" si="2"/>
        <v>346680</v>
      </c>
      <c r="H84" s="170">
        <v>12</v>
      </c>
      <c r="I84" s="178"/>
    </row>
    <row r="85" spans="2:9" x14ac:dyDescent="0.3">
      <c r="B85" s="170">
        <v>76</v>
      </c>
      <c r="C85" s="171" t="s">
        <v>216</v>
      </c>
      <c r="D85" s="172">
        <v>36</v>
      </c>
      <c r="E85" s="173" t="s">
        <v>140</v>
      </c>
      <c r="F85" s="174">
        <v>218920.31999999998</v>
      </c>
      <c r="G85" s="174">
        <f t="shared" si="2"/>
        <v>234244.74239999999</v>
      </c>
      <c r="H85" s="170">
        <v>12</v>
      </c>
      <c r="I85" s="178"/>
    </row>
    <row r="86" spans="2:9" x14ac:dyDescent="0.3">
      <c r="B86" s="170">
        <v>77</v>
      </c>
      <c r="C86" s="171" t="s">
        <v>217</v>
      </c>
      <c r="D86" s="172">
        <v>24</v>
      </c>
      <c r="E86" s="173" t="s">
        <v>140</v>
      </c>
      <c r="F86" s="174">
        <v>273600</v>
      </c>
      <c r="G86" s="174">
        <f t="shared" si="2"/>
        <v>292752</v>
      </c>
      <c r="H86" s="170">
        <v>12</v>
      </c>
      <c r="I86" s="178"/>
    </row>
    <row r="87" spans="2:9" x14ac:dyDescent="0.3">
      <c r="B87" s="170">
        <v>78</v>
      </c>
      <c r="C87" s="171" t="s">
        <v>218</v>
      </c>
      <c r="D87" s="172">
        <v>12</v>
      </c>
      <c r="E87" s="173" t="s">
        <v>140</v>
      </c>
      <c r="F87" s="174">
        <v>167400</v>
      </c>
      <c r="G87" s="174">
        <f t="shared" si="2"/>
        <v>179118</v>
      </c>
      <c r="H87" s="170">
        <v>12</v>
      </c>
      <c r="I87" s="178"/>
    </row>
    <row r="88" spans="2:9" x14ac:dyDescent="0.3">
      <c r="B88" s="170">
        <v>79</v>
      </c>
      <c r="C88" s="171" t="s">
        <v>219</v>
      </c>
      <c r="D88" s="172">
        <v>84</v>
      </c>
      <c r="E88" s="173" t="s">
        <v>140</v>
      </c>
      <c r="F88" s="174">
        <v>581837.75999999989</v>
      </c>
      <c r="G88" s="174">
        <f t="shared" si="2"/>
        <v>622566.40319999994</v>
      </c>
      <c r="H88" s="170">
        <v>12</v>
      </c>
      <c r="I88" s="178"/>
    </row>
    <row r="89" spans="2:9" x14ac:dyDescent="0.3">
      <c r="B89" s="170">
        <v>80</v>
      </c>
      <c r="C89" s="171" t="s">
        <v>220</v>
      </c>
      <c r="D89" s="172">
        <v>24</v>
      </c>
      <c r="E89" s="173" t="s">
        <v>140</v>
      </c>
      <c r="F89" s="174">
        <v>304816.31999999995</v>
      </c>
      <c r="G89" s="174">
        <f t="shared" si="2"/>
        <v>326153.46239999996</v>
      </c>
      <c r="H89" s="170">
        <v>12</v>
      </c>
      <c r="I89" s="178"/>
    </row>
    <row r="90" spans="2:9" x14ac:dyDescent="0.3">
      <c r="B90" s="170">
        <v>81</v>
      </c>
      <c r="C90" s="171" t="s">
        <v>221</v>
      </c>
      <c r="D90" s="172">
        <v>60</v>
      </c>
      <c r="E90" s="173" t="s">
        <v>140</v>
      </c>
      <c r="F90" s="174">
        <v>212400</v>
      </c>
      <c r="G90" s="174">
        <f t="shared" si="2"/>
        <v>227268</v>
      </c>
      <c r="H90" s="170">
        <v>12</v>
      </c>
      <c r="I90" s="178"/>
    </row>
    <row r="91" spans="2:9" x14ac:dyDescent="0.3">
      <c r="B91" s="170">
        <v>82</v>
      </c>
      <c r="C91" s="171" t="s">
        <v>222</v>
      </c>
      <c r="D91" s="172">
        <v>24</v>
      </c>
      <c r="E91" s="173" t="s">
        <v>140</v>
      </c>
      <c r="F91" s="174">
        <v>163200.95999999999</v>
      </c>
      <c r="G91" s="174">
        <f t="shared" si="2"/>
        <v>174625.02720000001</v>
      </c>
      <c r="H91" s="170">
        <v>12</v>
      </c>
      <c r="I91" s="178"/>
    </row>
    <row r="92" spans="2:9" x14ac:dyDescent="0.3">
      <c r="B92" s="170">
        <v>83</v>
      </c>
      <c r="C92" s="171" t="s">
        <v>223</v>
      </c>
      <c r="D92" s="172">
        <v>12</v>
      </c>
      <c r="E92" s="173" t="s">
        <v>140</v>
      </c>
      <c r="F92" s="174">
        <v>63177.119999999995</v>
      </c>
      <c r="G92" s="174">
        <f t="shared" si="2"/>
        <v>67599.518400000001</v>
      </c>
      <c r="H92" s="170">
        <v>12</v>
      </c>
      <c r="I92" s="178"/>
    </row>
    <row r="93" spans="2:9" x14ac:dyDescent="0.3">
      <c r="B93" s="170">
        <v>84</v>
      </c>
      <c r="C93" s="171" t="s">
        <v>224</v>
      </c>
      <c r="D93" s="172">
        <v>60</v>
      </c>
      <c r="E93" s="173" t="s">
        <v>140</v>
      </c>
      <c r="F93" s="174">
        <v>396000</v>
      </c>
      <c r="G93" s="174">
        <f t="shared" si="2"/>
        <v>423720</v>
      </c>
      <c r="H93" s="170">
        <v>12</v>
      </c>
      <c r="I93" s="178"/>
    </row>
    <row r="94" spans="2:9" x14ac:dyDescent="0.3">
      <c r="B94" s="170">
        <v>85</v>
      </c>
      <c r="C94" s="171" t="s">
        <v>225</v>
      </c>
      <c r="D94" s="172">
        <v>96</v>
      </c>
      <c r="E94" s="173" t="s">
        <v>140</v>
      </c>
      <c r="F94" s="174">
        <v>350784</v>
      </c>
      <c r="G94" s="174">
        <f t="shared" si="2"/>
        <v>375338.88</v>
      </c>
      <c r="H94" s="170">
        <v>12</v>
      </c>
      <c r="I94" s="178"/>
    </row>
    <row r="95" spans="2:9" x14ac:dyDescent="0.3">
      <c r="B95" s="170">
        <v>86</v>
      </c>
      <c r="C95" s="171" t="s">
        <v>226</v>
      </c>
      <c r="D95" s="172">
        <v>60</v>
      </c>
      <c r="E95" s="173" t="s">
        <v>140</v>
      </c>
      <c r="F95" s="174">
        <v>136800</v>
      </c>
      <c r="G95" s="174">
        <f t="shared" si="2"/>
        <v>146376</v>
      </c>
      <c r="H95" s="170">
        <v>12</v>
      </c>
      <c r="I95" s="178"/>
    </row>
    <row r="96" spans="2:9" x14ac:dyDescent="0.3">
      <c r="B96" s="170">
        <v>87</v>
      </c>
      <c r="C96" s="171" t="s">
        <v>227</v>
      </c>
      <c r="D96" s="172">
        <v>96</v>
      </c>
      <c r="E96" s="173" t="s">
        <v>140</v>
      </c>
      <c r="F96" s="174">
        <v>207360</v>
      </c>
      <c r="G96" s="174">
        <f t="shared" si="2"/>
        <v>221875.20000000001</v>
      </c>
      <c r="H96" s="170">
        <v>12</v>
      </c>
      <c r="I96" s="178"/>
    </row>
    <row r="97" spans="2:9" x14ac:dyDescent="0.3">
      <c r="B97" s="170">
        <v>88</v>
      </c>
      <c r="C97" s="171" t="s">
        <v>228</v>
      </c>
      <c r="D97" s="172">
        <v>312</v>
      </c>
      <c r="E97" s="173" t="s">
        <v>140</v>
      </c>
      <c r="F97" s="174">
        <v>1160640</v>
      </c>
      <c r="G97" s="174">
        <f t="shared" si="2"/>
        <v>1241884.8</v>
      </c>
      <c r="H97" s="170">
        <v>12</v>
      </c>
      <c r="I97" s="178"/>
    </row>
    <row r="98" spans="2:9" x14ac:dyDescent="0.3">
      <c r="B98" s="170">
        <v>89</v>
      </c>
      <c r="C98" s="171" t="s">
        <v>229</v>
      </c>
      <c r="D98" s="172">
        <v>216</v>
      </c>
      <c r="E98" s="173" t="s">
        <v>140</v>
      </c>
      <c r="F98" s="174">
        <v>424025.27999999997</v>
      </c>
      <c r="G98" s="174">
        <f t="shared" si="2"/>
        <v>453707.04959999997</v>
      </c>
      <c r="H98" s="170">
        <v>12</v>
      </c>
      <c r="I98" s="178"/>
    </row>
    <row r="99" spans="2:9" x14ac:dyDescent="0.3">
      <c r="B99" s="170">
        <v>90</v>
      </c>
      <c r="C99" s="171" t="s">
        <v>230</v>
      </c>
      <c r="D99" s="172">
        <v>36</v>
      </c>
      <c r="E99" s="173" t="s">
        <v>140</v>
      </c>
      <c r="F99" s="174">
        <v>57888</v>
      </c>
      <c r="G99" s="174">
        <f t="shared" si="2"/>
        <v>61940.160000000003</v>
      </c>
      <c r="H99" s="170">
        <v>12</v>
      </c>
      <c r="I99" s="178"/>
    </row>
    <row r="100" spans="2:9" x14ac:dyDescent="0.3">
      <c r="B100" s="170">
        <v>91</v>
      </c>
      <c r="C100" s="171" t="s">
        <v>231</v>
      </c>
      <c r="D100" s="172">
        <v>384</v>
      </c>
      <c r="E100" s="173" t="s">
        <v>140</v>
      </c>
      <c r="F100" s="174">
        <v>691200</v>
      </c>
      <c r="G100" s="174">
        <f t="shared" si="2"/>
        <v>739584</v>
      </c>
      <c r="H100" s="170">
        <v>12</v>
      </c>
      <c r="I100" s="178"/>
    </row>
    <row r="101" spans="2:9" x14ac:dyDescent="0.3">
      <c r="B101" s="170">
        <v>92</v>
      </c>
      <c r="C101" s="171" t="s">
        <v>232</v>
      </c>
      <c r="D101" s="172">
        <v>144</v>
      </c>
      <c r="E101" s="173" t="s">
        <v>140</v>
      </c>
      <c r="F101" s="174">
        <v>290304</v>
      </c>
      <c r="G101" s="174">
        <f t="shared" si="2"/>
        <v>310625.28000000003</v>
      </c>
      <c r="H101" s="170">
        <v>12</v>
      </c>
      <c r="I101" s="178"/>
    </row>
    <row r="102" spans="2:9" x14ac:dyDescent="0.3">
      <c r="B102" s="170">
        <v>93</v>
      </c>
      <c r="C102" s="171" t="s">
        <v>233</v>
      </c>
      <c r="D102" s="172">
        <v>168</v>
      </c>
      <c r="E102" s="173" t="s">
        <v>140</v>
      </c>
      <c r="F102" s="174">
        <v>282240</v>
      </c>
      <c r="G102" s="174">
        <f t="shared" si="2"/>
        <v>301996.80000000005</v>
      </c>
      <c r="H102" s="170">
        <v>12</v>
      </c>
      <c r="I102" s="178"/>
    </row>
    <row r="103" spans="2:9" x14ac:dyDescent="0.3">
      <c r="B103" s="170">
        <v>94</v>
      </c>
      <c r="C103" s="171" t="s">
        <v>234</v>
      </c>
      <c r="D103" s="172">
        <v>120</v>
      </c>
      <c r="E103" s="173" t="s">
        <v>140</v>
      </c>
      <c r="F103" s="174">
        <v>437760</v>
      </c>
      <c r="G103" s="174">
        <f t="shared" si="2"/>
        <v>468403.20000000001</v>
      </c>
      <c r="H103" s="170">
        <v>12</v>
      </c>
      <c r="I103" s="178"/>
    </row>
    <row r="104" spans="2:9" x14ac:dyDescent="0.3">
      <c r="B104" s="170">
        <v>95</v>
      </c>
      <c r="C104" s="171" t="s">
        <v>235</v>
      </c>
      <c r="D104" s="172">
        <v>96</v>
      </c>
      <c r="E104" s="173" t="s">
        <v>140</v>
      </c>
      <c r="F104" s="174">
        <v>357120</v>
      </c>
      <c r="G104" s="174">
        <f t="shared" si="2"/>
        <v>382118.40000000002</v>
      </c>
      <c r="H104" s="170">
        <v>12</v>
      </c>
      <c r="I104" s="178"/>
    </row>
    <row r="105" spans="2:9" x14ac:dyDescent="0.3">
      <c r="B105" s="170">
        <v>96</v>
      </c>
      <c r="C105" s="171" t="s">
        <v>236</v>
      </c>
      <c r="D105" s="172">
        <v>204</v>
      </c>
      <c r="E105" s="173" t="s">
        <v>140</v>
      </c>
      <c r="F105" s="174">
        <v>758880</v>
      </c>
      <c r="G105" s="174">
        <f t="shared" si="2"/>
        <v>812001.60000000009</v>
      </c>
      <c r="H105" s="170">
        <v>12</v>
      </c>
      <c r="I105" s="178"/>
    </row>
    <row r="106" spans="2:9" x14ac:dyDescent="0.3">
      <c r="B106" s="170">
        <v>97</v>
      </c>
      <c r="C106" s="171" t="s">
        <v>237</v>
      </c>
      <c r="D106" s="172">
        <v>120</v>
      </c>
      <c r="E106" s="173" t="s">
        <v>140</v>
      </c>
      <c r="F106" s="174">
        <v>437760</v>
      </c>
      <c r="G106" s="174">
        <f t="shared" si="2"/>
        <v>468403.20000000001</v>
      </c>
      <c r="H106" s="170">
        <v>12</v>
      </c>
      <c r="I106" s="178"/>
    </row>
    <row r="107" spans="2:9" x14ac:dyDescent="0.3">
      <c r="B107" s="170">
        <v>98</v>
      </c>
      <c r="C107" s="171" t="s">
        <v>238</v>
      </c>
      <c r="D107" s="172">
        <v>36</v>
      </c>
      <c r="E107" s="173" t="s">
        <v>140</v>
      </c>
      <c r="F107" s="174">
        <v>1652400</v>
      </c>
      <c r="G107" s="174">
        <f t="shared" si="2"/>
        <v>1768068</v>
      </c>
      <c r="H107" s="170">
        <v>12</v>
      </c>
      <c r="I107" s="178"/>
    </row>
    <row r="108" spans="2:9" x14ac:dyDescent="0.3">
      <c r="B108" s="170">
        <v>99</v>
      </c>
      <c r="C108" s="171" t="s">
        <v>239</v>
      </c>
      <c r="D108" s="172">
        <v>36</v>
      </c>
      <c r="E108" s="173" t="s">
        <v>140</v>
      </c>
      <c r="F108" s="174">
        <v>250560</v>
      </c>
      <c r="G108" s="174">
        <f t="shared" si="2"/>
        <v>268099.20000000001</v>
      </c>
      <c r="H108" s="170">
        <v>12</v>
      </c>
      <c r="I108" s="178"/>
    </row>
    <row r="109" spans="2:9" x14ac:dyDescent="0.3">
      <c r="B109" s="170">
        <v>100</v>
      </c>
      <c r="C109" s="171" t="s">
        <v>240</v>
      </c>
      <c r="D109" s="172">
        <v>48</v>
      </c>
      <c r="E109" s="173" t="s">
        <v>140</v>
      </c>
      <c r="F109" s="174">
        <v>334080</v>
      </c>
      <c r="G109" s="174">
        <f t="shared" si="2"/>
        <v>357465.60000000003</v>
      </c>
      <c r="H109" s="170">
        <v>12</v>
      </c>
      <c r="I109" s="178"/>
    </row>
    <row r="110" spans="2:9" x14ac:dyDescent="0.3">
      <c r="B110" s="170">
        <v>101</v>
      </c>
      <c r="C110" s="171" t="s">
        <v>241</v>
      </c>
      <c r="D110" s="172">
        <v>12</v>
      </c>
      <c r="E110" s="173" t="s">
        <v>140</v>
      </c>
      <c r="F110" s="174">
        <v>66240</v>
      </c>
      <c r="G110" s="174">
        <f t="shared" si="2"/>
        <v>70876.800000000003</v>
      </c>
      <c r="H110" s="170">
        <v>12</v>
      </c>
      <c r="I110" s="178"/>
    </row>
    <row r="111" spans="2:9" x14ac:dyDescent="0.3">
      <c r="B111" s="170">
        <v>102</v>
      </c>
      <c r="C111" s="171" t="s">
        <v>242</v>
      </c>
      <c r="D111" s="172">
        <v>24</v>
      </c>
      <c r="E111" s="173" t="s">
        <v>140</v>
      </c>
      <c r="F111" s="174">
        <v>182079.35999999999</v>
      </c>
      <c r="G111" s="174">
        <f t="shared" si="2"/>
        <v>194824.91519999999</v>
      </c>
      <c r="H111" s="170">
        <v>12</v>
      </c>
      <c r="I111" s="178"/>
    </row>
    <row r="112" spans="2:9" x14ac:dyDescent="0.3">
      <c r="B112" s="170">
        <v>103</v>
      </c>
      <c r="C112" s="171" t="s">
        <v>243</v>
      </c>
      <c r="D112" s="172">
        <v>60</v>
      </c>
      <c r="E112" s="173" t="s">
        <v>140</v>
      </c>
      <c r="F112" s="174">
        <v>158400</v>
      </c>
      <c r="G112" s="174">
        <f t="shared" ref="G112:G143" si="3">F112*107%</f>
        <v>169488</v>
      </c>
      <c r="H112" s="170">
        <v>12</v>
      </c>
      <c r="I112" s="178"/>
    </row>
    <row r="113" spans="2:9" x14ac:dyDescent="0.3">
      <c r="B113" s="170">
        <v>104</v>
      </c>
      <c r="C113" s="171" t="s">
        <v>244</v>
      </c>
      <c r="D113" s="172">
        <v>120</v>
      </c>
      <c r="E113" s="173" t="s">
        <v>140</v>
      </c>
      <c r="F113" s="174">
        <v>846720</v>
      </c>
      <c r="G113" s="174">
        <f t="shared" si="3"/>
        <v>905990.4</v>
      </c>
      <c r="H113" s="170">
        <v>12</v>
      </c>
      <c r="I113" s="178"/>
    </row>
    <row r="114" spans="2:9" x14ac:dyDescent="0.3">
      <c r="B114" s="170">
        <v>105</v>
      </c>
      <c r="C114" s="171" t="s">
        <v>245</v>
      </c>
      <c r="D114" s="172">
        <v>48</v>
      </c>
      <c r="E114" s="173" t="s">
        <v>140</v>
      </c>
      <c r="F114" s="174">
        <v>374400</v>
      </c>
      <c r="G114" s="174">
        <f t="shared" si="3"/>
        <v>400608</v>
      </c>
      <c r="H114" s="170">
        <v>12</v>
      </c>
      <c r="I114" s="178"/>
    </row>
    <row r="115" spans="2:9" x14ac:dyDescent="0.3">
      <c r="B115" s="170">
        <v>106</v>
      </c>
      <c r="C115" s="171" t="s">
        <v>246</v>
      </c>
      <c r="D115" s="172">
        <v>60</v>
      </c>
      <c r="E115" s="173" t="s">
        <v>140</v>
      </c>
      <c r="F115" s="174">
        <v>230400</v>
      </c>
      <c r="G115" s="174">
        <f t="shared" si="3"/>
        <v>246528</v>
      </c>
      <c r="H115" s="170">
        <v>12</v>
      </c>
      <c r="I115" s="178"/>
    </row>
    <row r="116" spans="2:9" x14ac:dyDescent="0.3">
      <c r="B116" s="170">
        <v>107</v>
      </c>
      <c r="C116" s="171" t="s">
        <v>247</v>
      </c>
      <c r="D116" s="172">
        <v>48</v>
      </c>
      <c r="E116" s="173" t="s">
        <v>140</v>
      </c>
      <c r="F116" s="174">
        <v>288000</v>
      </c>
      <c r="G116" s="174">
        <f t="shared" si="3"/>
        <v>308160</v>
      </c>
      <c r="H116" s="170">
        <v>12</v>
      </c>
      <c r="I116" s="178"/>
    </row>
    <row r="117" spans="2:9" x14ac:dyDescent="0.3">
      <c r="B117" s="170">
        <v>108</v>
      </c>
      <c r="C117" s="171" t="s">
        <v>248</v>
      </c>
      <c r="D117" s="172">
        <v>96</v>
      </c>
      <c r="E117" s="173" t="s">
        <v>140</v>
      </c>
      <c r="F117" s="174">
        <v>253440</v>
      </c>
      <c r="G117" s="174">
        <f t="shared" si="3"/>
        <v>271180.79999999999</v>
      </c>
      <c r="H117" s="170">
        <v>12</v>
      </c>
      <c r="I117" s="178"/>
    </row>
    <row r="118" spans="2:9" x14ac:dyDescent="0.3">
      <c r="B118" s="170">
        <v>109</v>
      </c>
      <c r="C118" s="171" t="s">
        <v>249</v>
      </c>
      <c r="D118" s="172">
        <v>60</v>
      </c>
      <c r="E118" s="173" t="s">
        <v>140</v>
      </c>
      <c r="F118" s="174">
        <v>210000</v>
      </c>
      <c r="G118" s="174">
        <f t="shared" si="3"/>
        <v>224700</v>
      </c>
      <c r="H118" s="170">
        <v>12</v>
      </c>
      <c r="I118" s="178"/>
    </row>
    <row r="119" spans="2:9" x14ac:dyDescent="0.3">
      <c r="B119" s="170">
        <v>110</v>
      </c>
      <c r="C119" s="171" t="s">
        <v>250</v>
      </c>
      <c r="D119" s="172">
        <v>36</v>
      </c>
      <c r="E119" s="173" t="s">
        <v>140</v>
      </c>
      <c r="F119" s="174">
        <v>28944</v>
      </c>
      <c r="G119" s="174">
        <f t="shared" si="3"/>
        <v>30970.080000000002</v>
      </c>
      <c r="H119" s="170">
        <v>12</v>
      </c>
      <c r="I119" s="178"/>
    </row>
    <row r="120" spans="2:9" x14ac:dyDescent="0.3">
      <c r="B120" s="170">
        <v>111</v>
      </c>
      <c r="C120" s="171" t="s">
        <v>251</v>
      </c>
      <c r="D120" s="172">
        <v>96</v>
      </c>
      <c r="E120" s="173" t="s">
        <v>140</v>
      </c>
      <c r="F120" s="174">
        <v>103680</v>
      </c>
      <c r="G120" s="174">
        <f t="shared" si="3"/>
        <v>110937.60000000001</v>
      </c>
      <c r="H120" s="170">
        <v>12</v>
      </c>
      <c r="I120" s="178"/>
    </row>
    <row r="121" spans="2:9" x14ac:dyDescent="0.3">
      <c r="B121" s="170">
        <v>112</v>
      </c>
      <c r="C121" s="171" t="s">
        <v>252</v>
      </c>
      <c r="D121" s="172">
        <v>132</v>
      </c>
      <c r="E121" s="173" t="s">
        <v>140</v>
      </c>
      <c r="F121" s="174">
        <v>316800</v>
      </c>
      <c r="G121" s="174">
        <f t="shared" si="3"/>
        <v>338976</v>
      </c>
      <c r="H121" s="170">
        <v>12</v>
      </c>
      <c r="I121" s="178"/>
    </row>
    <row r="122" spans="2:9" x14ac:dyDescent="0.3">
      <c r="B122" s="170">
        <v>113</v>
      </c>
      <c r="C122" s="171" t="s">
        <v>253</v>
      </c>
      <c r="D122" s="172">
        <v>96</v>
      </c>
      <c r="E122" s="173" t="s">
        <v>140</v>
      </c>
      <c r="F122" s="174">
        <v>1615656.96</v>
      </c>
      <c r="G122" s="174">
        <f t="shared" si="3"/>
        <v>1728752.9472000001</v>
      </c>
      <c r="H122" s="170">
        <v>12</v>
      </c>
      <c r="I122" s="178"/>
    </row>
    <row r="123" spans="2:9" x14ac:dyDescent="0.3">
      <c r="B123" s="170">
        <v>114</v>
      </c>
      <c r="C123" s="171" t="s">
        <v>254</v>
      </c>
      <c r="D123" s="172">
        <v>36</v>
      </c>
      <c r="E123" s="173" t="s">
        <v>140</v>
      </c>
      <c r="F123" s="174">
        <v>100800</v>
      </c>
      <c r="G123" s="174">
        <f t="shared" si="3"/>
        <v>107856</v>
      </c>
      <c r="H123" s="170">
        <v>12</v>
      </c>
      <c r="I123" s="178"/>
    </row>
    <row r="124" spans="2:9" x14ac:dyDescent="0.3">
      <c r="B124" s="170">
        <v>115</v>
      </c>
      <c r="C124" s="171" t="s">
        <v>255</v>
      </c>
      <c r="D124" s="172">
        <v>36</v>
      </c>
      <c r="E124" s="173" t="s">
        <v>140</v>
      </c>
      <c r="F124" s="174">
        <v>23072.724000000002</v>
      </c>
      <c r="G124" s="174">
        <f t="shared" si="3"/>
        <v>24687.814680000003</v>
      </c>
      <c r="H124" s="170">
        <v>12</v>
      </c>
      <c r="I124" s="178"/>
    </row>
    <row r="125" spans="2:9" x14ac:dyDescent="0.3">
      <c r="B125" s="170">
        <v>116</v>
      </c>
      <c r="C125" s="171" t="s">
        <v>256</v>
      </c>
      <c r="D125" s="172">
        <v>60</v>
      </c>
      <c r="E125" s="173" t="s">
        <v>140</v>
      </c>
      <c r="F125" s="174">
        <v>120000</v>
      </c>
      <c r="G125" s="174">
        <f t="shared" si="3"/>
        <v>128400.00000000001</v>
      </c>
      <c r="H125" s="170">
        <v>12</v>
      </c>
      <c r="I125" s="178"/>
    </row>
    <row r="126" spans="2:9" x14ac:dyDescent="0.3">
      <c r="B126" s="170">
        <v>117</v>
      </c>
      <c r="C126" s="171" t="s">
        <v>257</v>
      </c>
      <c r="D126" s="172">
        <v>1464</v>
      </c>
      <c r="E126" s="173" t="s">
        <v>140</v>
      </c>
      <c r="F126" s="174">
        <v>3215127</v>
      </c>
      <c r="G126" s="174">
        <f t="shared" si="3"/>
        <v>3440185.89</v>
      </c>
      <c r="H126" s="170">
        <v>12</v>
      </c>
      <c r="I126" s="178"/>
    </row>
    <row r="127" spans="2:9" x14ac:dyDescent="0.3">
      <c r="B127" s="170">
        <v>118</v>
      </c>
      <c r="C127" s="171" t="s">
        <v>258</v>
      </c>
      <c r="D127" s="172">
        <v>72</v>
      </c>
      <c r="E127" s="173" t="s">
        <v>140</v>
      </c>
      <c r="F127" s="174">
        <v>121890.16799999998</v>
      </c>
      <c r="G127" s="174">
        <f t="shared" si="3"/>
        <v>130422.47975999999</v>
      </c>
      <c r="H127" s="170">
        <v>12</v>
      </c>
      <c r="I127" s="178"/>
    </row>
    <row r="128" spans="2:9" x14ac:dyDescent="0.3">
      <c r="B128" s="170">
        <v>119</v>
      </c>
      <c r="C128" s="171" t="s">
        <v>259</v>
      </c>
      <c r="D128" s="172">
        <v>48</v>
      </c>
      <c r="E128" s="173" t="s">
        <v>140</v>
      </c>
      <c r="F128" s="174">
        <v>224640</v>
      </c>
      <c r="G128" s="174">
        <f t="shared" si="3"/>
        <v>240364.80000000002</v>
      </c>
      <c r="H128" s="170">
        <v>12</v>
      </c>
      <c r="I128" s="178"/>
    </row>
    <row r="129" spans="2:9" x14ac:dyDescent="0.3">
      <c r="B129" s="170">
        <v>120</v>
      </c>
      <c r="C129" s="171" t="s">
        <v>260</v>
      </c>
      <c r="D129" s="172">
        <v>36</v>
      </c>
      <c r="E129" s="173" t="s">
        <v>140</v>
      </c>
      <c r="F129" s="174">
        <v>833073.12</v>
      </c>
      <c r="G129" s="174">
        <f t="shared" si="3"/>
        <v>891388.23840000003</v>
      </c>
      <c r="H129" s="170">
        <v>12</v>
      </c>
      <c r="I129" s="178"/>
    </row>
    <row r="130" spans="2:9" x14ac:dyDescent="0.3">
      <c r="B130" s="170">
        <v>121</v>
      </c>
      <c r="C130" s="171" t="s">
        <v>261</v>
      </c>
      <c r="D130" s="172">
        <v>24</v>
      </c>
      <c r="E130" s="173" t="s">
        <v>140</v>
      </c>
      <c r="F130" s="174">
        <v>443125.44</v>
      </c>
      <c r="G130" s="174">
        <f t="shared" si="3"/>
        <v>474144.22080000001</v>
      </c>
      <c r="H130" s="170">
        <v>12</v>
      </c>
      <c r="I130" s="178"/>
    </row>
    <row r="131" spans="2:9" x14ac:dyDescent="0.3">
      <c r="B131" s="170">
        <v>122</v>
      </c>
      <c r="C131" s="171" t="s">
        <v>262</v>
      </c>
      <c r="D131" s="172">
        <v>24</v>
      </c>
      <c r="E131" s="173" t="s">
        <v>140</v>
      </c>
      <c r="F131" s="174">
        <v>17429.759999999998</v>
      </c>
      <c r="G131" s="174">
        <f t="shared" si="3"/>
        <v>18649.843199999999</v>
      </c>
      <c r="H131" s="170">
        <v>12</v>
      </c>
      <c r="I131" s="178"/>
    </row>
    <row r="132" spans="2:9" x14ac:dyDescent="0.3">
      <c r="B132" s="170">
        <v>123</v>
      </c>
      <c r="C132" s="171" t="s">
        <v>263</v>
      </c>
      <c r="D132" s="172">
        <v>60</v>
      </c>
      <c r="E132" s="173" t="s">
        <v>140</v>
      </c>
      <c r="F132" s="174">
        <v>400680</v>
      </c>
      <c r="G132" s="174">
        <f t="shared" si="3"/>
        <v>428727.60000000003</v>
      </c>
      <c r="H132" s="170">
        <v>12</v>
      </c>
      <c r="I132" s="178"/>
    </row>
    <row r="133" spans="2:9" x14ac:dyDescent="0.3">
      <c r="B133" s="170">
        <v>124</v>
      </c>
      <c r="C133" s="171" t="s">
        <v>264</v>
      </c>
      <c r="D133" s="172">
        <v>156</v>
      </c>
      <c r="E133" s="173" t="s">
        <v>140</v>
      </c>
      <c r="F133" s="174">
        <v>93600</v>
      </c>
      <c r="G133" s="174">
        <f t="shared" si="3"/>
        <v>100152</v>
      </c>
      <c r="H133" s="170">
        <v>12</v>
      </c>
      <c r="I133" s="178"/>
    </row>
    <row r="134" spans="2:9" x14ac:dyDescent="0.3">
      <c r="B134" s="170">
        <v>125</v>
      </c>
      <c r="C134" s="171" t="s">
        <v>265</v>
      </c>
      <c r="D134" s="172">
        <v>24</v>
      </c>
      <c r="E134" s="173" t="s">
        <v>140</v>
      </c>
      <c r="F134" s="174">
        <v>1260000</v>
      </c>
      <c r="G134" s="174">
        <f t="shared" si="3"/>
        <v>1348200</v>
      </c>
      <c r="H134" s="170">
        <v>12</v>
      </c>
      <c r="I134" s="178"/>
    </row>
    <row r="135" spans="2:9" x14ac:dyDescent="0.3">
      <c r="B135" s="170">
        <v>126</v>
      </c>
      <c r="C135" s="171" t="s">
        <v>266</v>
      </c>
      <c r="D135" s="172">
        <v>60</v>
      </c>
      <c r="E135" s="173" t="s">
        <v>140</v>
      </c>
      <c r="F135" s="174">
        <v>68400</v>
      </c>
      <c r="G135" s="174">
        <f t="shared" si="3"/>
        <v>73188</v>
      </c>
      <c r="H135" s="170">
        <v>12</v>
      </c>
      <c r="I135" s="178"/>
    </row>
    <row r="136" spans="2:9" x14ac:dyDescent="0.3">
      <c r="B136" s="170">
        <v>127</v>
      </c>
      <c r="C136" s="171" t="s">
        <v>267</v>
      </c>
      <c r="D136" s="172">
        <v>60</v>
      </c>
      <c r="E136" s="173" t="s">
        <v>140</v>
      </c>
      <c r="F136" s="174">
        <v>129600</v>
      </c>
      <c r="G136" s="174">
        <f t="shared" si="3"/>
        <v>138672</v>
      </c>
      <c r="H136" s="170">
        <v>12</v>
      </c>
      <c r="I136" s="178"/>
    </row>
    <row r="137" spans="2:9" x14ac:dyDescent="0.3">
      <c r="B137" s="170">
        <v>128</v>
      </c>
      <c r="C137" s="171" t="s">
        <v>268</v>
      </c>
      <c r="D137" s="172">
        <v>72</v>
      </c>
      <c r="E137" s="173" t="s">
        <v>140</v>
      </c>
      <c r="F137" s="174">
        <v>1166400</v>
      </c>
      <c r="G137" s="174">
        <f t="shared" si="3"/>
        <v>1248048</v>
      </c>
      <c r="H137" s="170">
        <v>12</v>
      </c>
      <c r="I137" s="178"/>
    </row>
    <row r="138" spans="2:9" x14ac:dyDescent="0.3">
      <c r="B138" s="170">
        <v>129</v>
      </c>
      <c r="C138" s="171" t="s">
        <v>269</v>
      </c>
      <c r="D138" s="172">
        <v>1344</v>
      </c>
      <c r="E138" s="173" t="s">
        <v>140</v>
      </c>
      <c r="F138" s="174">
        <v>5433120</v>
      </c>
      <c r="G138" s="174">
        <f t="shared" si="3"/>
        <v>5813438.4000000004</v>
      </c>
      <c r="H138" s="170">
        <v>12</v>
      </c>
      <c r="I138" s="178"/>
    </row>
    <row r="139" spans="2:9" x14ac:dyDescent="0.3">
      <c r="B139" s="170">
        <v>130</v>
      </c>
      <c r="C139" s="171" t="s">
        <v>270</v>
      </c>
      <c r="D139" s="172">
        <v>8</v>
      </c>
      <c r="E139" s="173" t="s">
        <v>140</v>
      </c>
      <c r="F139" s="174">
        <v>84324.479999999996</v>
      </c>
      <c r="G139" s="174">
        <f t="shared" si="3"/>
        <v>90227.193599999999</v>
      </c>
      <c r="H139" s="170">
        <v>12</v>
      </c>
      <c r="I139" s="178"/>
    </row>
    <row r="140" spans="2:9" x14ac:dyDescent="0.3">
      <c r="B140" s="170">
        <v>131</v>
      </c>
      <c r="C140" s="171" t="s">
        <v>271</v>
      </c>
      <c r="D140" s="172">
        <v>24</v>
      </c>
      <c r="E140" s="173" t="s">
        <v>140</v>
      </c>
      <c r="F140" s="174">
        <v>252973.43999999997</v>
      </c>
      <c r="G140" s="174">
        <f t="shared" si="3"/>
        <v>270681.5808</v>
      </c>
      <c r="H140" s="170">
        <v>12</v>
      </c>
      <c r="I140" s="178"/>
    </row>
    <row r="141" spans="2:9" x14ac:dyDescent="0.3">
      <c r="B141" s="170">
        <v>132</v>
      </c>
      <c r="C141" s="171" t="s">
        <v>272</v>
      </c>
      <c r="D141" s="172">
        <v>84</v>
      </c>
      <c r="E141" s="173" t="s">
        <v>140</v>
      </c>
      <c r="F141" s="174">
        <v>408653.27999999997</v>
      </c>
      <c r="G141" s="174">
        <f t="shared" si="3"/>
        <v>437259.00959999999</v>
      </c>
      <c r="H141" s="170">
        <v>12</v>
      </c>
      <c r="I141" s="178"/>
    </row>
    <row r="142" spans="2:9" x14ac:dyDescent="0.3">
      <c r="B142" s="170">
        <v>133</v>
      </c>
      <c r="C142" s="171" t="s">
        <v>273</v>
      </c>
      <c r="D142" s="172">
        <v>72</v>
      </c>
      <c r="E142" s="173" t="s">
        <v>140</v>
      </c>
      <c r="F142" s="174">
        <v>309407.03999999998</v>
      </c>
      <c r="G142" s="174">
        <f t="shared" si="3"/>
        <v>331065.53279999999</v>
      </c>
      <c r="H142" s="170">
        <v>12</v>
      </c>
      <c r="I142" s="178"/>
    </row>
    <row r="143" spans="2:9" x14ac:dyDescent="0.3">
      <c r="B143" s="170">
        <v>134</v>
      </c>
      <c r="C143" s="171" t="s">
        <v>274</v>
      </c>
      <c r="D143" s="172">
        <v>48</v>
      </c>
      <c r="E143" s="173" t="s">
        <v>140</v>
      </c>
      <c r="F143" s="174">
        <v>241453.43999999997</v>
      </c>
      <c r="G143" s="174">
        <f t="shared" si="3"/>
        <v>258355.18079999997</v>
      </c>
      <c r="H143" s="170">
        <v>12</v>
      </c>
      <c r="I143" s="178"/>
    </row>
    <row r="144" spans="2:9" x14ac:dyDescent="0.3">
      <c r="B144" s="170">
        <v>135</v>
      </c>
      <c r="C144" s="171" t="s">
        <v>275</v>
      </c>
      <c r="D144" s="172">
        <v>30</v>
      </c>
      <c r="E144" s="173" t="s">
        <v>276</v>
      </c>
      <c r="F144" s="174">
        <v>35200000</v>
      </c>
      <c r="G144" s="174">
        <f t="shared" ref="G144:G151" si="4">F144*107%</f>
        <v>37664000</v>
      </c>
      <c r="H144" s="170">
        <v>12</v>
      </c>
      <c r="I144" s="177"/>
    </row>
    <row r="145" spans="2:11" x14ac:dyDescent="0.3">
      <c r="B145" s="170">
        <v>136</v>
      </c>
      <c r="C145" s="171" t="s">
        <v>277</v>
      </c>
      <c r="D145" s="172">
        <v>24</v>
      </c>
      <c r="E145" s="173" t="s">
        <v>140</v>
      </c>
      <c r="F145" s="174">
        <v>60480</v>
      </c>
      <c r="G145" s="174">
        <f t="shared" si="4"/>
        <v>64713.600000000006</v>
      </c>
      <c r="H145" s="170">
        <v>12</v>
      </c>
      <c r="I145" s="178" t="s">
        <v>278</v>
      </c>
    </row>
    <row r="146" spans="2:11" x14ac:dyDescent="0.3">
      <c r="B146" s="170">
        <v>137</v>
      </c>
      <c r="C146" s="171" t="s">
        <v>279</v>
      </c>
      <c r="D146" s="172">
        <v>36</v>
      </c>
      <c r="E146" s="173" t="s">
        <v>140</v>
      </c>
      <c r="F146" s="174">
        <v>204327.36</v>
      </c>
      <c r="G146" s="174">
        <f t="shared" si="4"/>
        <v>218630.2752</v>
      </c>
      <c r="H146" s="170">
        <v>12</v>
      </c>
      <c r="I146" s="178" t="s">
        <v>278</v>
      </c>
    </row>
    <row r="147" spans="2:11" x14ac:dyDescent="0.3">
      <c r="B147" s="170">
        <v>138</v>
      </c>
      <c r="C147" s="171" t="s">
        <v>280</v>
      </c>
      <c r="D147" s="172">
        <v>12</v>
      </c>
      <c r="E147" s="173" t="s">
        <v>140</v>
      </c>
      <c r="F147" s="174">
        <v>23040</v>
      </c>
      <c r="G147" s="174">
        <f t="shared" si="4"/>
        <v>24652.800000000003</v>
      </c>
      <c r="H147" s="170">
        <v>12</v>
      </c>
      <c r="I147" s="178" t="s">
        <v>278</v>
      </c>
    </row>
    <row r="148" spans="2:11" x14ac:dyDescent="0.3">
      <c r="B148" s="170">
        <v>139</v>
      </c>
      <c r="C148" s="171" t="s">
        <v>281</v>
      </c>
      <c r="D148" s="172">
        <v>12</v>
      </c>
      <c r="E148" s="173" t="s">
        <v>140</v>
      </c>
      <c r="F148" s="174">
        <v>21600</v>
      </c>
      <c r="G148" s="174">
        <f t="shared" si="4"/>
        <v>23112</v>
      </c>
      <c r="H148" s="170">
        <v>12</v>
      </c>
      <c r="I148" s="178" t="s">
        <v>278</v>
      </c>
    </row>
    <row r="149" spans="2:11" x14ac:dyDescent="0.3">
      <c r="B149" s="170">
        <v>140</v>
      </c>
      <c r="C149" s="171" t="s">
        <v>282</v>
      </c>
      <c r="D149" s="172">
        <v>12</v>
      </c>
      <c r="E149" s="173" t="s">
        <v>140</v>
      </c>
      <c r="F149" s="174">
        <v>18000</v>
      </c>
      <c r="G149" s="174">
        <f t="shared" si="4"/>
        <v>19260</v>
      </c>
      <c r="H149" s="170">
        <v>12</v>
      </c>
      <c r="I149" s="178" t="s">
        <v>278</v>
      </c>
    </row>
    <row r="150" spans="2:11" x14ac:dyDescent="0.3">
      <c r="B150" s="170">
        <v>141</v>
      </c>
      <c r="C150" s="171" t="s">
        <v>283</v>
      </c>
      <c r="D150" s="172">
        <v>24</v>
      </c>
      <c r="E150" s="173" t="s">
        <v>140</v>
      </c>
      <c r="F150" s="174">
        <v>129600</v>
      </c>
      <c r="G150" s="174">
        <f t="shared" si="4"/>
        <v>138672</v>
      </c>
      <c r="H150" s="170">
        <v>12</v>
      </c>
      <c r="I150" s="178" t="s">
        <v>278</v>
      </c>
    </row>
    <row r="151" spans="2:11" x14ac:dyDescent="0.3">
      <c r="B151" s="170">
        <v>142</v>
      </c>
      <c r="C151" s="171" t="s">
        <v>284</v>
      </c>
      <c r="D151" s="172">
        <v>36</v>
      </c>
      <c r="E151" s="173" t="s">
        <v>140</v>
      </c>
      <c r="F151" s="174">
        <v>151200</v>
      </c>
      <c r="G151" s="174">
        <f t="shared" si="4"/>
        <v>161784</v>
      </c>
      <c r="H151" s="170">
        <v>12</v>
      </c>
      <c r="I151" s="178" t="s">
        <v>278</v>
      </c>
    </row>
    <row r="152" spans="2:11" s="243" customFormat="1" x14ac:dyDescent="0.3">
      <c r="B152" s="249"/>
      <c r="C152" s="250"/>
      <c r="D152" s="250"/>
      <c r="E152" s="250"/>
      <c r="F152" s="251">
        <f>SUM(F10:F151)</f>
        <v>96348287.463999987</v>
      </c>
      <c r="G152" s="251">
        <f>SUM(G10:G151)</f>
        <v>103092667.58647996</v>
      </c>
      <c r="H152" s="252"/>
      <c r="I152" s="254"/>
      <c r="K152" s="255">
        <f>G152+G171+G188+G219</f>
        <v>160653498.23047996</v>
      </c>
    </row>
    <row r="153" spans="2:11" x14ac:dyDescent="0.3">
      <c r="K153" s="245">
        <f>F152+F171+G188+G219</f>
        <v>151305768.11399999</v>
      </c>
    </row>
    <row r="154" spans="2:11" x14ac:dyDescent="0.3">
      <c r="B154" s="358" t="s">
        <v>285</v>
      </c>
      <c r="C154" s="359"/>
      <c r="D154" s="359"/>
      <c r="E154" s="359"/>
      <c r="F154" s="359"/>
      <c r="G154" s="359"/>
      <c r="H154" s="359"/>
      <c r="I154" s="359"/>
      <c r="K154" s="245">
        <f>K152-K153</f>
        <v>9347730.1164799631</v>
      </c>
    </row>
    <row r="155" spans="2:11" ht="15" thickBot="1" x14ac:dyDescent="0.35">
      <c r="B155" s="185" t="s">
        <v>133</v>
      </c>
      <c r="C155" s="185" t="s">
        <v>134</v>
      </c>
      <c r="D155" s="361" t="s">
        <v>135</v>
      </c>
      <c r="E155" s="361"/>
      <c r="F155" s="169" t="s">
        <v>136</v>
      </c>
      <c r="G155" s="169"/>
      <c r="H155" s="185" t="s">
        <v>137</v>
      </c>
      <c r="I155" s="185" t="s">
        <v>138</v>
      </c>
    </row>
    <row r="156" spans="2:11" x14ac:dyDescent="0.3">
      <c r="B156" s="170">
        <v>1</v>
      </c>
      <c r="C156" s="171" t="s">
        <v>286</v>
      </c>
      <c r="D156" s="172">
        <v>1</v>
      </c>
      <c r="E156" s="173" t="s">
        <v>140</v>
      </c>
      <c r="F156" s="175">
        <v>400000</v>
      </c>
      <c r="G156" s="175">
        <f>F156*107%</f>
        <v>428000</v>
      </c>
      <c r="H156" s="170">
        <v>12</v>
      </c>
      <c r="I156" s="178"/>
    </row>
    <row r="157" spans="2:11" x14ac:dyDescent="0.3">
      <c r="B157" s="170">
        <v>2</v>
      </c>
      <c r="C157" s="171" t="s">
        <v>287</v>
      </c>
      <c r="D157" s="172">
        <v>1</v>
      </c>
      <c r="E157" s="173" t="s">
        <v>140</v>
      </c>
      <c r="F157" s="175">
        <v>0</v>
      </c>
      <c r="G157" s="184">
        <f t="shared" ref="G157:G170" si="5">F157*107%</f>
        <v>0</v>
      </c>
      <c r="H157" s="170">
        <v>12</v>
      </c>
      <c r="I157" s="178" t="s">
        <v>141</v>
      </c>
    </row>
    <row r="158" spans="2:11" x14ac:dyDescent="0.3">
      <c r="B158" s="170">
        <v>3</v>
      </c>
      <c r="C158" s="171" t="s">
        <v>288</v>
      </c>
      <c r="D158" s="172">
        <v>2</v>
      </c>
      <c r="E158" s="173" t="s">
        <v>140</v>
      </c>
      <c r="F158" s="175">
        <v>0</v>
      </c>
      <c r="G158" s="184">
        <f t="shared" si="5"/>
        <v>0</v>
      </c>
      <c r="H158" s="170">
        <v>12</v>
      </c>
      <c r="I158" s="178" t="s">
        <v>141</v>
      </c>
    </row>
    <row r="159" spans="2:11" x14ac:dyDescent="0.3">
      <c r="B159" s="170">
        <v>4</v>
      </c>
      <c r="C159" s="171" t="s">
        <v>157</v>
      </c>
      <c r="D159" s="172">
        <v>12</v>
      </c>
      <c r="E159" s="173" t="s">
        <v>140</v>
      </c>
      <c r="F159" s="175">
        <v>0</v>
      </c>
      <c r="G159" s="184">
        <f t="shared" si="5"/>
        <v>0</v>
      </c>
      <c r="H159" s="170">
        <v>12</v>
      </c>
      <c r="I159" s="178"/>
    </row>
    <row r="160" spans="2:11" x14ac:dyDescent="0.3">
      <c r="B160" s="170">
        <v>5</v>
      </c>
      <c r="C160" s="171" t="s">
        <v>158</v>
      </c>
      <c r="D160" s="172">
        <v>4</v>
      </c>
      <c r="E160" s="173" t="s">
        <v>140</v>
      </c>
      <c r="F160" s="175">
        <v>0</v>
      </c>
      <c r="G160" s="184">
        <f t="shared" si="5"/>
        <v>0</v>
      </c>
      <c r="H160" s="170">
        <v>12</v>
      </c>
      <c r="I160" s="178"/>
    </row>
    <row r="161" spans="2:9" x14ac:dyDescent="0.3">
      <c r="B161" s="170">
        <v>6</v>
      </c>
      <c r="C161" s="171" t="s">
        <v>191</v>
      </c>
      <c r="D161" s="172">
        <v>66</v>
      </c>
      <c r="E161" s="173" t="s">
        <v>140</v>
      </c>
      <c r="F161" s="175">
        <v>0</v>
      </c>
      <c r="G161" s="184">
        <f t="shared" si="5"/>
        <v>0</v>
      </c>
      <c r="H161" s="170">
        <v>12</v>
      </c>
      <c r="I161" s="178"/>
    </row>
    <row r="162" spans="2:9" x14ac:dyDescent="0.3">
      <c r="B162" s="170">
        <v>7</v>
      </c>
      <c r="C162" s="171" t="s">
        <v>199</v>
      </c>
      <c r="D162" s="172">
        <v>12</v>
      </c>
      <c r="E162" s="173" t="s">
        <v>140</v>
      </c>
      <c r="F162" s="175">
        <v>0</v>
      </c>
      <c r="G162" s="184">
        <f t="shared" si="5"/>
        <v>0</v>
      </c>
      <c r="H162" s="170">
        <v>12</v>
      </c>
      <c r="I162" s="178"/>
    </row>
    <row r="163" spans="2:9" x14ac:dyDescent="0.3">
      <c r="B163" s="170">
        <v>8</v>
      </c>
      <c r="C163" s="171" t="s">
        <v>229</v>
      </c>
      <c r="D163" s="172">
        <v>50</v>
      </c>
      <c r="E163" s="173" t="s">
        <v>140</v>
      </c>
      <c r="F163" s="175">
        <v>0</v>
      </c>
      <c r="G163" s="184">
        <f t="shared" si="5"/>
        <v>0</v>
      </c>
      <c r="H163" s="170">
        <v>12</v>
      </c>
      <c r="I163" s="178"/>
    </row>
    <row r="164" spans="2:9" x14ac:dyDescent="0.3">
      <c r="B164" s="170">
        <v>9</v>
      </c>
      <c r="C164" s="171" t="s">
        <v>232</v>
      </c>
      <c r="D164" s="172">
        <v>6</v>
      </c>
      <c r="E164" s="173" t="s">
        <v>140</v>
      </c>
      <c r="F164" s="175">
        <v>0</v>
      </c>
      <c r="G164" s="184">
        <f t="shared" si="5"/>
        <v>0</v>
      </c>
      <c r="H164" s="170">
        <v>12</v>
      </c>
      <c r="I164" s="178"/>
    </row>
    <row r="165" spans="2:9" x14ac:dyDescent="0.3">
      <c r="B165" s="170">
        <v>10</v>
      </c>
      <c r="C165" s="171" t="s">
        <v>233</v>
      </c>
      <c r="D165" s="172">
        <v>10</v>
      </c>
      <c r="E165" s="173" t="s">
        <v>140</v>
      </c>
      <c r="F165" s="175">
        <v>0</v>
      </c>
      <c r="G165" s="184">
        <f t="shared" si="5"/>
        <v>0</v>
      </c>
      <c r="H165" s="170">
        <v>12</v>
      </c>
      <c r="I165" s="178"/>
    </row>
    <row r="166" spans="2:9" x14ac:dyDescent="0.3">
      <c r="B166" s="170">
        <v>11</v>
      </c>
      <c r="C166" s="171" t="s">
        <v>289</v>
      </c>
      <c r="D166" s="172">
        <v>8</v>
      </c>
      <c r="E166" s="173" t="s">
        <v>140</v>
      </c>
      <c r="F166" s="175">
        <v>0</v>
      </c>
      <c r="G166" s="184">
        <f t="shared" si="5"/>
        <v>0</v>
      </c>
      <c r="H166" s="170">
        <v>12</v>
      </c>
      <c r="I166" s="178"/>
    </row>
    <row r="167" spans="2:9" x14ac:dyDescent="0.3">
      <c r="B167" s="170">
        <v>12</v>
      </c>
      <c r="C167" s="171" t="s">
        <v>256</v>
      </c>
      <c r="D167" s="172">
        <v>360</v>
      </c>
      <c r="E167" s="173" t="s">
        <v>140</v>
      </c>
      <c r="F167" s="175">
        <v>720000</v>
      </c>
      <c r="G167" s="175">
        <f>F167*107%</f>
        <v>770400</v>
      </c>
      <c r="H167" s="170">
        <v>12</v>
      </c>
      <c r="I167" s="178"/>
    </row>
    <row r="168" spans="2:9" x14ac:dyDescent="0.3">
      <c r="B168" s="170">
        <v>13</v>
      </c>
      <c r="C168" s="171" t="s">
        <v>257</v>
      </c>
      <c r="D168" s="172">
        <v>22</v>
      </c>
      <c r="E168" s="173" t="s">
        <v>140</v>
      </c>
      <c r="F168" s="175">
        <v>48314.2</v>
      </c>
      <c r="G168" s="175">
        <f t="shared" si="5"/>
        <v>51696.194000000003</v>
      </c>
      <c r="H168" s="170">
        <v>12</v>
      </c>
      <c r="I168" s="178"/>
    </row>
    <row r="169" spans="2:9" x14ac:dyDescent="0.3">
      <c r="B169" s="170">
        <v>14</v>
      </c>
      <c r="C169" s="171" t="s">
        <v>254</v>
      </c>
      <c r="D169" s="172">
        <v>8</v>
      </c>
      <c r="E169" s="173" t="s">
        <v>140</v>
      </c>
      <c r="F169" s="175">
        <v>22399.999999999996</v>
      </c>
      <c r="G169" s="175">
        <f t="shared" si="5"/>
        <v>23967.999999999996</v>
      </c>
      <c r="H169" s="170">
        <v>12</v>
      </c>
      <c r="I169" s="178"/>
    </row>
    <row r="170" spans="2:9" x14ac:dyDescent="0.3">
      <c r="B170" s="170">
        <v>15</v>
      </c>
      <c r="C170" s="171" t="s">
        <v>290</v>
      </c>
      <c r="D170" s="172">
        <v>12</v>
      </c>
      <c r="E170" s="173" t="s">
        <v>140</v>
      </c>
      <c r="F170" s="175">
        <v>36000000</v>
      </c>
      <c r="G170" s="175">
        <f t="shared" si="5"/>
        <v>38520000</v>
      </c>
      <c r="H170" s="170">
        <v>12</v>
      </c>
      <c r="I170" s="178"/>
    </row>
    <row r="171" spans="2:9" s="243" customFormat="1" x14ac:dyDescent="0.3">
      <c r="B171" s="249"/>
      <c r="C171" s="250"/>
      <c r="D171" s="250"/>
      <c r="E171" s="250"/>
      <c r="F171" s="251">
        <f>SUM(F156:F170)</f>
        <v>37190714.200000003</v>
      </c>
      <c r="G171" s="251">
        <f>SUM(G156:G170)</f>
        <v>39794064.193999998</v>
      </c>
      <c r="H171" s="252"/>
      <c r="I171" s="253"/>
    </row>
    <row r="173" spans="2:9" x14ac:dyDescent="0.3">
      <c r="B173" s="358" t="s">
        <v>291</v>
      </c>
      <c r="C173" s="359"/>
      <c r="D173" s="359"/>
      <c r="E173" s="359"/>
      <c r="F173" s="359"/>
      <c r="G173" s="359"/>
      <c r="H173" s="359"/>
      <c r="I173" s="359"/>
    </row>
    <row r="174" spans="2:9" ht="15" thickBot="1" x14ac:dyDescent="0.35">
      <c r="B174" s="185" t="s">
        <v>133</v>
      </c>
      <c r="C174" s="185" t="s">
        <v>134</v>
      </c>
      <c r="D174" s="361" t="s">
        <v>135</v>
      </c>
      <c r="E174" s="361"/>
      <c r="F174" s="169" t="s">
        <v>136</v>
      </c>
      <c r="G174" s="169" t="s">
        <v>136</v>
      </c>
      <c r="H174" s="185" t="s">
        <v>137</v>
      </c>
      <c r="I174" s="185" t="s">
        <v>138</v>
      </c>
    </row>
    <row r="175" spans="2:9" x14ac:dyDescent="0.3">
      <c r="B175" s="170">
        <v>1</v>
      </c>
      <c r="C175" s="171" t="s">
        <v>292</v>
      </c>
      <c r="D175" s="172">
        <v>690</v>
      </c>
      <c r="E175" s="173" t="s">
        <v>140</v>
      </c>
      <c r="F175" s="176"/>
      <c r="G175" s="183">
        <v>1193479.2</v>
      </c>
      <c r="H175" s="170">
        <v>0</v>
      </c>
      <c r="I175" s="178" t="s">
        <v>141</v>
      </c>
    </row>
    <row r="176" spans="2:9" x14ac:dyDescent="0.3">
      <c r="B176" s="170">
        <v>2</v>
      </c>
      <c r="C176" s="171" t="s">
        <v>293</v>
      </c>
      <c r="D176" s="172">
        <v>153</v>
      </c>
      <c r="E176" s="173" t="s">
        <v>140</v>
      </c>
      <c r="F176" s="176"/>
      <c r="G176" s="183">
        <v>2067556.3199999998</v>
      </c>
      <c r="H176" s="170">
        <v>0</v>
      </c>
      <c r="I176" s="178" t="s">
        <v>141</v>
      </c>
    </row>
    <row r="177" spans="2:9" x14ac:dyDescent="0.3">
      <c r="B177" s="170">
        <v>3</v>
      </c>
      <c r="C177" s="171" t="s">
        <v>294</v>
      </c>
      <c r="D177" s="172">
        <v>185</v>
      </c>
      <c r="E177" s="173" t="s">
        <v>140</v>
      </c>
      <c r="F177" s="176"/>
      <c r="G177" s="183">
        <v>3199996.7999999993</v>
      </c>
      <c r="H177" s="170">
        <v>0</v>
      </c>
      <c r="I177" s="178" t="s">
        <v>141</v>
      </c>
    </row>
    <row r="178" spans="2:9" x14ac:dyDescent="0.3">
      <c r="B178" s="170">
        <v>4</v>
      </c>
      <c r="C178" s="171" t="s">
        <v>295</v>
      </c>
      <c r="D178" s="172">
        <v>16</v>
      </c>
      <c r="E178" s="173" t="s">
        <v>140</v>
      </c>
      <c r="F178" s="176"/>
      <c r="G178" s="183">
        <v>951350.4</v>
      </c>
      <c r="H178" s="170">
        <v>0</v>
      </c>
      <c r="I178" s="178" t="s">
        <v>141</v>
      </c>
    </row>
    <row r="179" spans="2:9" x14ac:dyDescent="0.3">
      <c r="B179" s="170">
        <v>5</v>
      </c>
      <c r="C179" s="171" t="s">
        <v>200</v>
      </c>
      <c r="D179" s="172">
        <v>62</v>
      </c>
      <c r="E179" s="173" t="s">
        <v>140</v>
      </c>
      <c r="F179" s="176"/>
      <c r="G179" s="183">
        <v>297600</v>
      </c>
      <c r="H179" s="170">
        <v>0</v>
      </c>
      <c r="I179" s="178" t="s">
        <v>141</v>
      </c>
    </row>
    <row r="180" spans="2:9" x14ac:dyDescent="0.3">
      <c r="B180" s="170">
        <v>6</v>
      </c>
      <c r="C180" s="171" t="s">
        <v>201</v>
      </c>
      <c r="D180" s="172">
        <v>57</v>
      </c>
      <c r="E180" s="173" t="s">
        <v>140</v>
      </c>
      <c r="F180" s="176"/>
      <c r="G180" s="183">
        <v>259920</v>
      </c>
      <c r="H180" s="170">
        <v>0</v>
      </c>
      <c r="I180" s="178" t="s">
        <v>141</v>
      </c>
    </row>
    <row r="181" spans="2:9" x14ac:dyDescent="0.3">
      <c r="B181" s="170">
        <v>7</v>
      </c>
      <c r="C181" s="171" t="s">
        <v>202</v>
      </c>
      <c r="D181" s="172">
        <v>34</v>
      </c>
      <c r="E181" s="173" t="s">
        <v>140</v>
      </c>
      <c r="F181" s="174"/>
      <c r="G181" s="182">
        <v>1212971.76</v>
      </c>
      <c r="H181" s="170">
        <v>12</v>
      </c>
      <c r="I181" s="178"/>
    </row>
    <row r="182" spans="2:9" x14ac:dyDescent="0.3">
      <c r="B182" s="170">
        <v>8</v>
      </c>
      <c r="C182" s="171" t="s">
        <v>296</v>
      </c>
      <c r="D182" s="172">
        <v>144</v>
      </c>
      <c r="E182" s="173" t="s">
        <v>140</v>
      </c>
      <c r="F182" s="174"/>
      <c r="G182" s="182">
        <v>1209600</v>
      </c>
      <c r="H182" s="170">
        <v>12</v>
      </c>
      <c r="I182" s="178"/>
    </row>
    <row r="183" spans="2:9" x14ac:dyDescent="0.3">
      <c r="B183" s="170">
        <v>9</v>
      </c>
      <c r="C183" s="171" t="s">
        <v>297</v>
      </c>
      <c r="D183" s="172">
        <v>120</v>
      </c>
      <c r="E183" s="173" t="s">
        <v>140</v>
      </c>
      <c r="F183" s="174"/>
      <c r="G183" s="182">
        <v>600000</v>
      </c>
      <c r="H183" s="170">
        <v>12</v>
      </c>
      <c r="I183" s="178"/>
    </row>
    <row r="184" spans="2:9" x14ac:dyDescent="0.3">
      <c r="B184" s="170">
        <v>10</v>
      </c>
      <c r="C184" s="171" t="s">
        <v>256</v>
      </c>
      <c r="D184" s="172">
        <v>96</v>
      </c>
      <c r="E184" s="173" t="s">
        <v>140</v>
      </c>
      <c r="F184" s="174"/>
      <c r="G184" s="182">
        <v>192000</v>
      </c>
      <c r="H184" s="170">
        <v>12</v>
      </c>
      <c r="I184" s="178"/>
    </row>
    <row r="185" spans="2:9" x14ac:dyDescent="0.3">
      <c r="B185" s="170">
        <v>11</v>
      </c>
      <c r="C185" s="171" t="s">
        <v>298</v>
      </c>
      <c r="D185" s="172">
        <v>1440</v>
      </c>
      <c r="E185" s="173" t="s">
        <v>140</v>
      </c>
      <c r="F185" s="174"/>
      <c r="G185" s="174">
        <v>2304000</v>
      </c>
      <c r="H185" s="170">
        <v>12</v>
      </c>
      <c r="I185" s="178"/>
    </row>
    <row r="186" spans="2:9" x14ac:dyDescent="0.3">
      <c r="B186" s="170">
        <v>12</v>
      </c>
      <c r="C186" s="171" t="s">
        <v>299</v>
      </c>
      <c r="D186" s="172">
        <v>720</v>
      </c>
      <c r="E186" s="173" t="s">
        <v>140</v>
      </c>
      <c r="F186" s="174"/>
      <c r="G186" s="174">
        <v>1008000</v>
      </c>
      <c r="H186" s="170">
        <v>12</v>
      </c>
      <c r="I186" s="178"/>
    </row>
    <row r="187" spans="2:9" x14ac:dyDescent="0.3">
      <c r="B187" s="170">
        <v>13</v>
      </c>
      <c r="C187" s="171" t="s">
        <v>300</v>
      </c>
      <c r="D187" s="172">
        <v>0</v>
      </c>
      <c r="E187" s="173" t="s">
        <v>140</v>
      </c>
      <c r="F187" s="174"/>
      <c r="G187" s="179">
        <v>0</v>
      </c>
      <c r="H187" s="170">
        <v>12</v>
      </c>
      <c r="I187" s="178" t="s">
        <v>301</v>
      </c>
    </row>
    <row r="188" spans="2:9" s="243" customFormat="1" x14ac:dyDescent="0.3">
      <c r="B188" s="249"/>
      <c r="C188" s="250"/>
      <c r="D188" s="250"/>
      <c r="E188" s="250"/>
      <c r="F188" s="251">
        <f>SUM(F175:F187)</f>
        <v>0</v>
      </c>
      <c r="G188" s="251">
        <f>SUM(G175:G187)</f>
        <v>14496474.479999999</v>
      </c>
      <c r="H188" s="252"/>
      <c r="I188" s="253"/>
    </row>
    <row r="190" spans="2:9" x14ac:dyDescent="0.3">
      <c r="B190" s="358" t="s">
        <v>302</v>
      </c>
      <c r="C190" s="359"/>
      <c r="D190" s="359"/>
      <c r="E190" s="359"/>
      <c r="F190" s="359"/>
      <c r="G190" s="359"/>
      <c r="H190" s="359"/>
      <c r="I190" s="360"/>
    </row>
    <row r="191" spans="2:9" ht="15" thickBot="1" x14ac:dyDescent="0.35">
      <c r="B191" s="185" t="s">
        <v>133</v>
      </c>
      <c r="C191" s="185" t="s">
        <v>134</v>
      </c>
      <c r="D191" s="361" t="s">
        <v>135</v>
      </c>
      <c r="E191" s="361"/>
      <c r="F191" s="169" t="s">
        <v>136</v>
      </c>
      <c r="G191" s="169" t="s">
        <v>136</v>
      </c>
      <c r="H191" s="185" t="s">
        <v>137</v>
      </c>
      <c r="I191" s="185" t="s">
        <v>138</v>
      </c>
    </row>
    <row r="192" spans="2:9" x14ac:dyDescent="0.3">
      <c r="B192" s="170">
        <v>1</v>
      </c>
      <c r="C192" s="171" t="s">
        <v>161</v>
      </c>
      <c r="D192" s="172">
        <v>12</v>
      </c>
      <c r="E192" s="173" t="s">
        <v>140</v>
      </c>
      <c r="F192" s="176"/>
      <c r="G192" s="183">
        <v>36000</v>
      </c>
      <c r="H192" s="170">
        <v>12</v>
      </c>
      <c r="I192" s="178"/>
    </row>
    <row r="193" spans="2:9" x14ac:dyDescent="0.3">
      <c r="B193" s="170">
        <v>2</v>
      </c>
      <c r="C193" s="171" t="s">
        <v>168</v>
      </c>
      <c r="D193" s="172">
        <v>18</v>
      </c>
      <c r="E193" s="173" t="s">
        <v>140</v>
      </c>
      <c r="F193" s="176"/>
      <c r="G193" s="183">
        <v>481680</v>
      </c>
      <c r="H193" s="170">
        <v>12</v>
      </c>
      <c r="I193" s="178"/>
    </row>
    <row r="194" spans="2:9" x14ac:dyDescent="0.3">
      <c r="B194" s="170">
        <v>3</v>
      </c>
      <c r="C194" s="171" t="s">
        <v>171</v>
      </c>
      <c r="D194" s="172">
        <v>32</v>
      </c>
      <c r="E194" s="173" t="s">
        <v>140</v>
      </c>
      <c r="F194" s="176"/>
      <c r="G194" s="183">
        <v>111360</v>
      </c>
      <c r="H194" s="170">
        <v>12</v>
      </c>
      <c r="I194" s="178"/>
    </row>
    <row r="195" spans="2:9" x14ac:dyDescent="0.3">
      <c r="B195" s="170">
        <v>4</v>
      </c>
      <c r="C195" s="171" t="s">
        <v>174</v>
      </c>
      <c r="D195" s="172">
        <v>95</v>
      </c>
      <c r="E195" s="173" t="s">
        <v>140</v>
      </c>
      <c r="F195" s="176"/>
      <c r="G195" s="183">
        <v>362573.01000000007</v>
      </c>
      <c r="H195" s="170">
        <v>12</v>
      </c>
      <c r="I195" s="178"/>
    </row>
    <row r="196" spans="2:9" x14ac:dyDescent="0.3">
      <c r="B196" s="170">
        <v>5</v>
      </c>
      <c r="C196" s="171" t="s">
        <v>181</v>
      </c>
      <c r="D196" s="172">
        <v>100</v>
      </c>
      <c r="E196" s="173" t="s">
        <v>140</v>
      </c>
      <c r="F196" s="176"/>
      <c r="G196" s="183">
        <v>211860.80000000002</v>
      </c>
      <c r="H196" s="170">
        <v>12</v>
      </c>
      <c r="I196" s="178"/>
    </row>
    <row r="197" spans="2:9" x14ac:dyDescent="0.3">
      <c r="B197" s="170">
        <v>6</v>
      </c>
      <c r="C197" s="171" t="s">
        <v>196</v>
      </c>
      <c r="D197" s="172">
        <v>1</v>
      </c>
      <c r="E197" s="173" t="s">
        <v>140</v>
      </c>
      <c r="F197" s="176"/>
      <c r="G197" s="183">
        <v>9946.08</v>
      </c>
      <c r="H197" s="170">
        <v>12</v>
      </c>
      <c r="I197" s="178"/>
    </row>
    <row r="198" spans="2:9" x14ac:dyDescent="0.3">
      <c r="B198" s="170">
        <v>7</v>
      </c>
      <c r="C198" s="171" t="s">
        <v>198</v>
      </c>
      <c r="D198" s="172">
        <v>5</v>
      </c>
      <c r="E198" s="173" t="s">
        <v>140</v>
      </c>
      <c r="F198" s="174"/>
      <c r="G198" s="182">
        <v>61601.4</v>
      </c>
      <c r="H198" s="170">
        <v>12</v>
      </c>
      <c r="I198" s="178"/>
    </row>
    <row r="199" spans="2:9" x14ac:dyDescent="0.3">
      <c r="B199" s="170">
        <v>8</v>
      </c>
      <c r="C199" s="171" t="s">
        <v>209</v>
      </c>
      <c r="D199" s="172">
        <v>58</v>
      </c>
      <c r="E199" s="173" t="s">
        <v>140</v>
      </c>
      <c r="F199" s="174"/>
      <c r="G199" s="182">
        <v>360855.12</v>
      </c>
      <c r="H199" s="170">
        <v>12</v>
      </c>
      <c r="I199" s="178"/>
    </row>
    <row r="200" spans="2:9" x14ac:dyDescent="0.3">
      <c r="B200" s="170">
        <v>9</v>
      </c>
      <c r="C200" s="171" t="s">
        <v>210</v>
      </c>
      <c r="D200" s="172">
        <v>50</v>
      </c>
      <c r="E200" s="173" t="s">
        <v>140</v>
      </c>
      <c r="F200" s="174"/>
      <c r="G200" s="182">
        <v>150000.00000000003</v>
      </c>
      <c r="H200" s="170">
        <v>12</v>
      </c>
      <c r="I200" s="178"/>
    </row>
    <row r="201" spans="2:9" x14ac:dyDescent="0.3">
      <c r="B201" s="170">
        <v>10</v>
      </c>
      <c r="C201" s="171" t="s">
        <v>303</v>
      </c>
      <c r="D201" s="172">
        <v>8</v>
      </c>
      <c r="E201" s="173" t="s">
        <v>140</v>
      </c>
      <c r="F201" s="174"/>
      <c r="G201" s="182">
        <v>18240</v>
      </c>
      <c r="H201" s="170">
        <v>12</v>
      </c>
      <c r="I201" s="178"/>
    </row>
    <row r="202" spans="2:9" x14ac:dyDescent="0.3">
      <c r="B202" s="170">
        <v>11</v>
      </c>
      <c r="C202" s="171" t="s">
        <v>231</v>
      </c>
      <c r="D202" s="172">
        <v>8</v>
      </c>
      <c r="E202" s="173" t="s">
        <v>140</v>
      </c>
      <c r="F202" s="174"/>
      <c r="G202" s="182">
        <v>14400</v>
      </c>
      <c r="H202" s="170">
        <v>12</v>
      </c>
      <c r="I202" s="178"/>
    </row>
    <row r="203" spans="2:9" x14ac:dyDescent="0.3">
      <c r="B203" s="170">
        <v>12</v>
      </c>
      <c r="C203" s="171" t="s">
        <v>233</v>
      </c>
      <c r="D203" s="172">
        <v>76</v>
      </c>
      <c r="E203" s="173" t="s">
        <v>140</v>
      </c>
      <c r="F203" s="174"/>
      <c r="G203" s="182">
        <v>127680</v>
      </c>
      <c r="H203" s="170">
        <v>12</v>
      </c>
      <c r="I203" s="178"/>
    </row>
    <row r="204" spans="2:9" x14ac:dyDescent="0.3">
      <c r="B204" s="170">
        <v>13</v>
      </c>
      <c r="C204" s="171" t="s">
        <v>245</v>
      </c>
      <c r="D204" s="172">
        <v>84</v>
      </c>
      <c r="E204" s="173" t="s">
        <v>140</v>
      </c>
      <c r="F204" s="174"/>
      <c r="G204" s="182">
        <v>655200</v>
      </c>
      <c r="H204" s="170">
        <v>12</v>
      </c>
      <c r="I204" s="178"/>
    </row>
    <row r="205" spans="2:9" x14ac:dyDescent="0.3">
      <c r="B205" s="170">
        <v>14</v>
      </c>
      <c r="C205" s="171" t="s">
        <v>246</v>
      </c>
      <c r="D205" s="172">
        <v>16</v>
      </c>
      <c r="E205" s="173" t="s">
        <v>140</v>
      </c>
      <c r="F205" s="174"/>
      <c r="G205" s="182">
        <v>61440</v>
      </c>
      <c r="H205" s="170">
        <v>12</v>
      </c>
      <c r="I205" s="178"/>
    </row>
    <row r="206" spans="2:9" x14ac:dyDescent="0.3">
      <c r="B206" s="170">
        <v>15</v>
      </c>
      <c r="C206" s="171" t="s">
        <v>304</v>
      </c>
      <c r="D206" s="172">
        <v>10</v>
      </c>
      <c r="E206" s="173" t="s">
        <v>140</v>
      </c>
      <c r="F206" s="174"/>
      <c r="G206" s="182">
        <v>49500</v>
      </c>
      <c r="H206" s="170">
        <v>12</v>
      </c>
      <c r="I206" s="178"/>
    </row>
    <row r="207" spans="2:9" x14ac:dyDescent="0.3">
      <c r="B207" s="170">
        <v>16</v>
      </c>
      <c r="C207" s="171" t="s">
        <v>251</v>
      </c>
      <c r="D207" s="172">
        <v>16</v>
      </c>
      <c r="E207" s="173" t="s">
        <v>140</v>
      </c>
      <c r="F207" s="174"/>
      <c r="G207" s="182">
        <v>17280</v>
      </c>
      <c r="H207" s="170">
        <v>12</v>
      </c>
      <c r="I207" s="178"/>
    </row>
    <row r="208" spans="2:9" x14ac:dyDescent="0.3">
      <c r="B208" s="170">
        <v>17</v>
      </c>
      <c r="C208" s="171" t="s">
        <v>252</v>
      </c>
      <c r="D208" s="172">
        <v>74</v>
      </c>
      <c r="E208" s="173" t="s">
        <v>140</v>
      </c>
      <c r="F208" s="174"/>
      <c r="G208" s="182">
        <v>177600</v>
      </c>
      <c r="H208" s="170">
        <v>12</v>
      </c>
      <c r="I208" s="178"/>
    </row>
    <row r="209" spans="2:9" x14ac:dyDescent="0.3">
      <c r="B209" s="170">
        <v>18</v>
      </c>
      <c r="C209" s="171" t="s">
        <v>259</v>
      </c>
      <c r="D209" s="172">
        <v>2</v>
      </c>
      <c r="E209" s="173" t="s">
        <v>140</v>
      </c>
      <c r="F209" s="174"/>
      <c r="G209" s="182">
        <v>9360</v>
      </c>
      <c r="H209" s="170">
        <v>12</v>
      </c>
      <c r="I209" s="178"/>
    </row>
    <row r="210" spans="2:9" x14ac:dyDescent="0.3">
      <c r="B210" s="170">
        <v>19</v>
      </c>
      <c r="C210" s="171" t="s">
        <v>272</v>
      </c>
      <c r="D210" s="172">
        <v>46</v>
      </c>
      <c r="E210" s="173" t="s">
        <v>140</v>
      </c>
      <c r="F210" s="174"/>
      <c r="G210" s="182">
        <v>223786.32</v>
      </c>
      <c r="H210" s="170">
        <v>12</v>
      </c>
      <c r="I210" s="178"/>
    </row>
    <row r="211" spans="2:9" x14ac:dyDescent="0.3">
      <c r="B211" s="170">
        <v>20</v>
      </c>
      <c r="C211" s="171" t="s">
        <v>305</v>
      </c>
      <c r="D211" s="172">
        <v>2</v>
      </c>
      <c r="E211" s="173" t="s">
        <v>140</v>
      </c>
      <c r="F211" s="174"/>
      <c r="G211" s="182">
        <v>13901.599999999999</v>
      </c>
      <c r="H211" s="170">
        <v>12</v>
      </c>
      <c r="I211" s="178"/>
    </row>
    <row r="212" spans="2:9" x14ac:dyDescent="0.3">
      <c r="B212" s="170">
        <v>21</v>
      </c>
      <c r="C212" s="171" t="s">
        <v>273</v>
      </c>
      <c r="D212" s="172">
        <v>27</v>
      </c>
      <c r="E212" s="173" t="s">
        <v>140</v>
      </c>
      <c r="F212" s="174"/>
      <c r="G212" s="182">
        <v>116027.64</v>
      </c>
      <c r="H212" s="170">
        <v>12</v>
      </c>
      <c r="I212" s="178"/>
    </row>
    <row r="213" spans="2:9" x14ac:dyDescent="0.3">
      <c r="B213" s="170">
        <v>22</v>
      </c>
      <c r="C213" s="171" t="s">
        <v>306</v>
      </c>
      <c r="D213" s="172">
        <v>25</v>
      </c>
      <c r="E213" s="173" t="s">
        <v>140</v>
      </c>
      <c r="F213" s="174"/>
      <c r="G213" s="179">
        <v>0</v>
      </c>
      <c r="H213" s="170">
        <v>0</v>
      </c>
      <c r="I213" s="178" t="s">
        <v>301</v>
      </c>
    </row>
    <row r="214" spans="2:9" x14ac:dyDescent="0.3">
      <c r="B214" s="170">
        <v>23</v>
      </c>
      <c r="C214" s="171" t="s">
        <v>307</v>
      </c>
      <c r="D214" s="172">
        <v>4</v>
      </c>
      <c r="E214" s="173" t="s">
        <v>140</v>
      </c>
      <c r="F214" s="174"/>
      <c r="G214" s="179">
        <v>0</v>
      </c>
      <c r="H214" s="170">
        <v>0</v>
      </c>
      <c r="I214" s="178" t="s">
        <v>301</v>
      </c>
    </row>
    <row r="215" spans="2:9" x14ac:dyDescent="0.3">
      <c r="B215" s="170">
        <v>24</v>
      </c>
      <c r="C215" s="171" t="s">
        <v>308</v>
      </c>
      <c r="D215" s="172">
        <v>1</v>
      </c>
      <c r="E215" s="173" t="s">
        <v>140</v>
      </c>
      <c r="F215" s="174"/>
      <c r="G215" s="179">
        <v>0</v>
      </c>
      <c r="H215" s="170">
        <v>0</v>
      </c>
      <c r="I215" s="178" t="s">
        <v>301</v>
      </c>
    </row>
    <row r="216" spans="2:9" x14ac:dyDescent="0.3">
      <c r="B216" s="170">
        <v>25</v>
      </c>
      <c r="C216" s="171" t="s">
        <v>309</v>
      </c>
      <c r="D216" s="172">
        <v>8</v>
      </c>
      <c r="E216" s="173" t="s">
        <v>140</v>
      </c>
      <c r="F216" s="174"/>
      <c r="G216" s="179">
        <v>0</v>
      </c>
      <c r="H216" s="170">
        <v>0</v>
      </c>
      <c r="I216" s="178" t="s">
        <v>301</v>
      </c>
    </row>
    <row r="217" spans="2:9" x14ac:dyDescent="0.3">
      <c r="B217" s="170">
        <v>26</v>
      </c>
      <c r="C217" s="171" t="s">
        <v>310</v>
      </c>
      <c r="D217" s="172">
        <v>8</v>
      </c>
      <c r="E217" s="173" t="s">
        <v>140</v>
      </c>
      <c r="F217" s="174"/>
      <c r="G217" s="179">
        <v>0</v>
      </c>
      <c r="H217" s="170">
        <v>0</v>
      </c>
      <c r="I217" s="178" t="s">
        <v>301</v>
      </c>
    </row>
    <row r="218" spans="2:9" x14ac:dyDescent="0.3">
      <c r="B218" s="170">
        <v>27</v>
      </c>
      <c r="C218" s="171" t="s">
        <v>311</v>
      </c>
      <c r="D218" s="172">
        <v>4</v>
      </c>
      <c r="E218" s="173" t="s">
        <v>140</v>
      </c>
      <c r="F218" s="174"/>
      <c r="G218" s="179">
        <v>0</v>
      </c>
      <c r="H218" s="170">
        <v>0</v>
      </c>
      <c r="I218" s="178" t="s">
        <v>301</v>
      </c>
    </row>
    <row r="219" spans="2:9" s="243" customFormat="1" x14ac:dyDescent="0.3">
      <c r="B219" s="249"/>
      <c r="C219" s="250"/>
      <c r="D219" s="250"/>
      <c r="E219" s="250"/>
      <c r="F219" s="251">
        <f>SUM(F192:F218)</f>
        <v>0</v>
      </c>
      <c r="G219" s="251">
        <f>SUM(G192:G218)</f>
        <v>3270291.97</v>
      </c>
      <c r="H219" s="252"/>
      <c r="I219" s="253"/>
    </row>
  </sheetData>
  <mergeCells count="8">
    <mergeCell ref="B190:I190"/>
    <mergeCell ref="D191:E191"/>
    <mergeCell ref="B8:I8"/>
    <mergeCell ref="D9:E9"/>
    <mergeCell ref="B154:I154"/>
    <mergeCell ref="D155:E155"/>
    <mergeCell ref="B173:I173"/>
    <mergeCell ref="D174:E17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553B-F72F-4184-8769-7290C1B2D6CA}">
  <dimension ref="A4:S184"/>
  <sheetViews>
    <sheetView showGridLines="0" tabSelected="1" zoomScale="90" zoomScaleNormal="90" zoomScaleSheetLayoutView="80" workbookViewId="0">
      <selection activeCell="I20" sqref="I20"/>
    </sheetView>
  </sheetViews>
  <sheetFormatPr defaultColWidth="9.21875" defaultRowHeight="14.4" x14ac:dyDescent="0.3"/>
  <cols>
    <col min="1" max="1" width="6.44140625" style="199" bestFit="1" customWidth="1"/>
    <col min="2" max="2" width="6.5546875" style="199" customWidth="1"/>
    <col min="3" max="3" width="45" style="199" bestFit="1" customWidth="1"/>
    <col min="4" max="4" width="47" style="199" customWidth="1"/>
    <col min="5" max="6" width="8.44140625" style="199" hidden="1" customWidth="1"/>
    <col min="7" max="8" width="12.44140625" style="199" customWidth="1"/>
    <col min="9" max="9" width="14.88671875" style="199" bestFit="1" customWidth="1"/>
    <col min="10" max="10" width="12.44140625" style="233" customWidth="1"/>
    <col min="11" max="11" width="15.77734375" style="199" customWidth="1"/>
    <col min="12" max="12" width="32.109375" style="6" customWidth="1"/>
    <col min="13" max="13" width="16.88671875" style="199" bestFit="1" customWidth="1"/>
    <col min="14" max="14" width="16.109375" style="199" bestFit="1" customWidth="1"/>
    <col min="15" max="15" width="17.21875" style="199" customWidth="1"/>
    <col min="16" max="17" width="12.6640625" style="199" bestFit="1" customWidth="1"/>
    <col min="18" max="18" width="13.88671875" style="199" bestFit="1" customWidth="1"/>
    <col min="19" max="250" width="9.21875" style="199"/>
    <col min="251" max="251" width="3.5546875" style="199" customWidth="1"/>
    <col min="252" max="252" width="6.5546875" style="199" customWidth="1"/>
    <col min="253" max="253" width="17.77734375" style="199" customWidth="1"/>
    <col min="254" max="254" width="4.5546875" style="199" customWidth="1"/>
    <col min="255" max="255" width="8.5546875" style="199" customWidth="1"/>
    <col min="256" max="256" width="22.21875" style="199" customWidth="1"/>
    <col min="257" max="257" width="45.5546875" style="199" customWidth="1"/>
    <col min="258" max="258" width="4.5546875" style="199" customWidth="1"/>
    <col min="259" max="259" width="46.5546875" style="199" bestFit="1" customWidth="1"/>
    <col min="260" max="260" width="13.77734375" style="199" bestFit="1" customWidth="1"/>
    <col min="261" max="262" width="10.5546875" style="199" bestFit="1" customWidth="1"/>
    <col min="263" max="506" width="9.21875" style="199"/>
    <col min="507" max="507" width="3.5546875" style="199" customWidth="1"/>
    <col min="508" max="508" width="6.5546875" style="199" customWidth="1"/>
    <col min="509" max="509" width="17.77734375" style="199" customWidth="1"/>
    <col min="510" max="510" width="4.5546875" style="199" customWidth="1"/>
    <col min="511" max="511" width="8.5546875" style="199" customWidth="1"/>
    <col min="512" max="512" width="22.21875" style="199" customWidth="1"/>
    <col min="513" max="513" width="45.5546875" style="199" customWidth="1"/>
    <col min="514" max="514" width="4.5546875" style="199" customWidth="1"/>
    <col min="515" max="515" width="46.5546875" style="199" bestFit="1" customWidth="1"/>
    <col min="516" max="516" width="13.77734375" style="199" bestFit="1" customWidth="1"/>
    <col min="517" max="518" width="10.5546875" style="199" bestFit="1" customWidth="1"/>
    <col min="519" max="762" width="9.21875" style="199"/>
    <col min="763" max="763" width="3.5546875" style="199" customWidth="1"/>
    <col min="764" max="764" width="6.5546875" style="199" customWidth="1"/>
    <col min="765" max="765" width="17.77734375" style="199" customWidth="1"/>
    <col min="766" max="766" width="4.5546875" style="199" customWidth="1"/>
    <col min="767" max="767" width="8.5546875" style="199" customWidth="1"/>
    <col min="768" max="768" width="22.21875" style="199" customWidth="1"/>
    <col min="769" max="769" width="45.5546875" style="199" customWidth="1"/>
    <col min="770" max="770" width="4.5546875" style="199" customWidth="1"/>
    <col min="771" max="771" width="46.5546875" style="199" bestFit="1" customWidth="1"/>
    <col min="772" max="772" width="13.77734375" style="199" bestFit="1" customWidth="1"/>
    <col min="773" max="774" width="10.5546875" style="199" bestFit="1" customWidth="1"/>
    <col min="775" max="1018" width="9.21875" style="199"/>
    <col min="1019" max="1019" width="3.5546875" style="199" customWidth="1"/>
    <col min="1020" max="1020" width="6.5546875" style="199" customWidth="1"/>
    <col min="1021" max="1021" width="17.77734375" style="199" customWidth="1"/>
    <col min="1022" max="1022" width="4.5546875" style="199" customWidth="1"/>
    <col min="1023" max="1023" width="8.5546875" style="199" customWidth="1"/>
    <col min="1024" max="1024" width="22.21875" style="199" customWidth="1"/>
    <col min="1025" max="1025" width="45.5546875" style="199" customWidth="1"/>
    <col min="1026" max="1026" width="4.5546875" style="199" customWidth="1"/>
    <col min="1027" max="1027" width="46.5546875" style="199" bestFit="1" customWidth="1"/>
    <col min="1028" max="1028" width="13.77734375" style="199" bestFit="1" customWidth="1"/>
    <col min="1029" max="1030" width="10.5546875" style="199" bestFit="1" customWidth="1"/>
    <col min="1031" max="1274" width="9.21875" style="199"/>
    <col min="1275" max="1275" width="3.5546875" style="199" customWidth="1"/>
    <col min="1276" max="1276" width="6.5546875" style="199" customWidth="1"/>
    <col min="1277" max="1277" width="17.77734375" style="199" customWidth="1"/>
    <col min="1278" max="1278" width="4.5546875" style="199" customWidth="1"/>
    <col min="1279" max="1279" width="8.5546875" style="199" customWidth="1"/>
    <col min="1280" max="1280" width="22.21875" style="199" customWidth="1"/>
    <col min="1281" max="1281" width="45.5546875" style="199" customWidth="1"/>
    <col min="1282" max="1282" width="4.5546875" style="199" customWidth="1"/>
    <col min="1283" max="1283" width="46.5546875" style="199" bestFit="1" customWidth="1"/>
    <col min="1284" max="1284" width="13.77734375" style="199" bestFit="1" customWidth="1"/>
    <col min="1285" max="1286" width="10.5546875" style="199" bestFit="1" customWidth="1"/>
    <col min="1287" max="1530" width="9.21875" style="199"/>
    <col min="1531" max="1531" width="3.5546875" style="199" customWidth="1"/>
    <col min="1532" max="1532" width="6.5546875" style="199" customWidth="1"/>
    <col min="1533" max="1533" width="17.77734375" style="199" customWidth="1"/>
    <col min="1534" max="1534" width="4.5546875" style="199" customWidth="1"/>
    <col min="1535" max="1535" width="8.5546875" style="199" customWidth="1"/>
    <col min="1536" max="1536" width="22.21875" style="199" customWidth="1"/>
    <col min="1537" max="1537" width="45.5546875" style="199" customWidth="1"/>
    <col min="1538" max="1538" width="4.5546875" style="199" customWidth="1"/>
    <col min="1539" max="1539" width="46.5546875" style="199" bestFit="1" customWidth="1"/>
    <col min="1540" max="1540" width="13.77734375" style="199" bestFit="1" customWidth="1"/>
    <col min="1541" max="1542" width="10.5546875" style="199" bestFit="1" customWidth="1"/>
    <col min="1543" max="1786" width="9.21875" style="199"/>
    <col min="1787" max="1787" width="3.5546875" style="199" customWidth="1"/>
    <col min="1788" max="1788" width="6.5546875" style="199" customWidth="1"/>
    <col min="1789" max="1789" width="17.77734375" style="199" customWidth="1"/>
    <col min="1790" max="1790" width="4.5546875" style="199" customWidth="1"/>
    <col min="1791" max="1791" width="8.5546875" style="199" customWidth="1"/>
    <col min="1792" max="1792" width="22.21875" style="199" customWidth="1"/>
    <col min="1793" max="1793" width="45.5546875" style="199" customWidth="1"/>
    <col min="1794" max="1794" width="4.5546875" style="199" customWidth="1"/>
    <col min="1795" max="1795" width="46.5546875" style="199" bestFit="1" customWidth="1"/>
    <col min="1796" max="1796" width="13.77734375" style="199" bestFit="1" customWidth="1"/>
    <col min="1797" max="1798" width="10.5546875" style="199" bestFit="1" customWidth="1"/>
    <col min="1799" max="2042" width="9.21875" style="199"/>
    <col min="2043" max="2043" width="3.5546875" style="199" customWidth="1"/>
    <col min="2044" max="2044" width="6.5546875" style="199" customWidth="1"/>
    <col min="2045" max="2045" width="17.77734375" style="199" customWidth="1"/>
    <col min="2046" max="2046" width="4.5546875" style="199" customWidth="1"/>
    <col min="2047" max="2047" width="8.5546875" style="199" customWidth="1"/>
    <col min="2048" max="2048" width="22.21875" style="199" customWidth="1"/>
    <col min="2049" max="2049" width="45.5546875" style="199" customWidth="1"/>
    <col min="2050" max="2050" width="4.5546875" style="199" customWidth="1"/>
    <col min="2051" max="2051" width="46.5546875" style="199" bestFit="1" customWidth="1"/>
    <col min="2052" max="2052" width="13.77734375" style="199" bestFit="1" customWidth="1"/>
    <col min="2053" max="2054" width="10.5546875" style="199" bestFit="1" customWidth="1"/>
    <col min="2055" max="2298" width="9.21875" style="199"/>
    <col min="2299" max="2299" width="3.5546875" style="199" customWidth="1"/>
    <col min="2300" max="2300" width="6.5546875" style="199" customWidth="1"/>
    <col min="2301" max="2301" width="17.77734375" style="199" customWidth="1"/>
    <col min="2302" max="2302" width="4.5546875" style="199" customWidth="1"/>
    <col min="2303" max="2303" width="8.5546875" style="199" customWidth="1"/>
    <col min="2304" max="2304" width="22.21875" style="199" customWidth="1"/>
    <col min="2305" max="2305" width="45.5546875" style="199" customWidth="1"/>
    <col min="2306" max="2306" width="4.5546875" style="199" customWidth="1"/>
    <col min="2307" max="2307" width="46.5546875" style="199" bestFit="1" customWidth="1"/>
    <col min="2308" max="2308" width="13.77734375" style="199" bestFit="1" customWidth="1"/>
    <col min="2309" max="2310" width="10.5546875" style="199" bestFit="1" customWidth="1"/>
    <col min="2311" max="2554" width="9.21875" style="199"/>
    <col min="2555" max="2555" width="3.5546875" style="199" customWidth="1"/>
    <col min="2556" max="2556" width="6.5546875" style="199" customWidth="1"/>
    <col min="2557" max="2557" width="17.77734375" style="199" customWidth="1"/>
    <col min="2558" max="2558" width="4.5546875" style="199" customWidth="1"/>
    <col min="2559" max="2559" width="8.5546875" style="199" customWidth="1"/>
    <col min="2560" max="2560" width="22.21875" style="199" customWidth="1"/>
    <col min="2561" max="2561" width="45.5546875" style="199" customWidth="1"/>
    <col min="2562" max="2562" width="4.5546875" style="199" customWidth="1"/>
    <col min="2563" max="2563" width="46.5546875" style="199" bestFit="1" customWidth="1"/>
    <col min="2564" max="2564" width="13.77734375" style="199" bestFit="1" customWidth="1"/>
    <col min="2565" max="2566" width="10.5546875" style="199" bestFit="1" customWidth="1"/>
    <col min="2567" max="2810" width="9.21875" style="199"/>
    <col min="2811" max="2811" width="3.5546875" style="199" customWidth="1"/>
    <col min="2812" max="2812" width="6.5546875" style="199" customWidth="1"/>
    <col min="2813" max="2813" width="17.77734375" style="199" customWidth="1"/>
    <col min="2814" max="2814" width="4.5546875" style="199" customWidth="1"/>
    <col min="2815" max="2815" width="8.5546875" style="199" customWidth="1"/>
    <col min="2816" max="2816" width="22.21875" style="199" customWidth="1"/>
    <col min="2817" max="2817" width="45.5546875" style="199" customWidth="1"/>
    <col min="2818" max="2818" width="4.5546875" style="199" customWidth="1"/>
    <col min="2819" max="2819" width="46.5546875" style="199" bestFit="1" customWidth="1"/>
    <col min="2820" max="2820" width="13.77734375" style="199" bestFit="1" customWidth="1"/>
    <col min="2821" max="2822" width="10.5546875" style="199" bestFit="1" customWidth="1"/>
    <col min="2823" max="3066" width="9.21875" style="199"/>
    <col min="3067" max="3067" width="3.5546875" style="199" customWidth="1"/>
    <col min="3068" max="3068" width="6.5546875" style="199" customWidth="1"/>
    <col min="3069" max="3069" width="17.77734375" style="199" customWidth="1"/>
    <col min="3070" max="3070" width="4.5546875" style="199" customWidth="1"/>
    <col min="3071" max="3071" width="8.5546875" style="199" customWidth="1"/>
    <col min="3072" max="3072" width="22.21875" style="199" customWidth="1"/>
    <col min="3073" max="3073" width="45.5546875" style="199" customWidth="1"/>
    <col min="3074" max="3074" width="4.5546875" style="199" customWidth="1"/>
    <col min="3075" max="3075" width="46.5546875" style="199" bestFit="1" customWidth="1"/>
    <col min="3076" max="3076" width="13.77734375" style="199" bestFit="1" customWidth="1"/>
    <col min="3077" max="3078" width="10.5546875" style="199" bestFit="1" customWidth="1"/>
    <col min="3079" max="3322" width="9.21875" style="199"/>
    <col min="3323" max="3323" width="3.5546875" style="199" customWidth="1"/>
    <col min="3324" max="3324" width="6.5546875" style="199" customWidth="1"/>
    <col min="3325" max="3325" width="17.77734375" style="199" customWidth="1"/>
    <col min="3326" max="3326" width="4.5546875" style="199" customWidth="1"/>
    <col min="3327" max="3327" width="8.5546875" style="199" customWidth="1"/>
    <col min="3328" max="3328" width="22.21875" style="199" customWidth="1"/>
    <col min="3329" max="3329" width="45.5546875" style="199" customWidth="1"/>
    <col min="3330" max="3330" width="4.5546875" style="199" customWidth="1"/>
    <col min="3331" max="3331" width="46.5546875" style="199" bestFit="1" customWidth="1"/>
    <col min="3332" max="3332" width="13.77734375" style="199" bestFit="1" customWidth="1"/>
    <col min="3333" max="3334" width="10.5546875" style="199" bestFit="1" customWidth="1"/>
    <col min="3335" max="3578" width="9.21875" style="199"/>
    <col min="3579" max="3579" width="3.5546875" style="199" customWidth="1"/>
    <col min="3580" max="3580" width="6.5546875" style="199" customWidth="1"/>
    <col min="3581" max="3581" width="17.77734375" style="199" customWidth="1"/>
    <col min="3582" max="3582" width="4.5546875" style="199" customWidth="1"/>
    <col min="3583" max="3583" width="8.5546875" style="199" customWidth="1"/>
    <col min="3584" max="3584" width="22.21875" style="199" customWidth="1"/>
    <col min="3585" max="3585" width="45.5546875" style="199" customWidth="1"/>
    <col min="3586" max="3586" width="4.5546875" style="199" customWidth="1"/>
    <col min="3587" max="3587" width="46.5546875" style="199" bestFit="1" customWidth="1"/>
    <col min="3588" max="3588" width="13.77734375" style="199" bestFit="1" customWidth="1"/>
    <col min="3589" max="3590" width="10.5546875" style="199" bestFit="1" customWidth="1"/>
    <col min="3591" max="3834" width="9.21875" style="199"/>
    <col min="3835" max="3835" width="3.5546875" style="199" customWidth="1"/>
    <col min="3836" max="3836" width="6.5546875" style="199" customWidth="1"/>
    <col min="3837" max="3837" width="17.77734375" style="199" customWidth="1"/>
    <col min="3838" max="3838" width="4.5546875" style="199" customWidth="1"/>
    <col min="3839" max="3839" width="8.5546875" style="199" customWidth="1"/>
    <col min="3840" max="3840" width="22.21875" style="199" customWidth="1"/>
    <col min="3841" max="3841" width="45.5546875" style="199" customWidth="1"/>
    <col min="3842" max="3842" width="4.5546875" style="199" customWidth="1"/>
    <col min="3843" max="3843" width="46.5546875" style="199" bestFit="1" customWidth="1"/>
    <col min="3844" max="3844" width="13.77734375" style="199" bestFit="1" customWidth="1"/>
    <col min="3845" max="3846" width="10.5546875" style="199" bestFit="1" customWidth="1"/>
    <col min="3847" max="4090" width="9.21875" style="199"/>
    <col min="4091" max="4091" width="3.5546875" style="199" customWidth="1"/>
    <col min="4092" max="4092" width="6.5546875" style="199" customWidth="1"/>
    <col min="4093" max="4093" width="17.77734375" style="199" customWidth="1"/>
    <col min="4094" max="4094" width="4.5546875" style="199" customWidth="1"/>
    <col min="4095" max="4095" width="8.5546875" style="199" customWidth="1"/>
    <col min="4096" max="4096" width="22.21875" style="199" customWidth="1"/>
    <col min="4097" max="4097" width="45.5546875" style="199" customWidth="1"/>
    <col min="4098" max="4098" width="4.5546875" style="199" customWidth="1"/>
    <col min="4099" max="4099" width="46.5546875" style="199" bestFit="1" customWidth="1"/>
    <col min="4100" max="4100" width="13.77734375" style="199" bestFit="1" customWidth="1"/>
    <col min="4101" max="4102" width="10.5546875" style="199" bestFit="1" customWidth="1"/>
    <col min="4103" max="4346" width="9.21875" style="199"/>
    <col min="4347" max="4347" width="3.5546875" style="199" customWidth="1"/>
    <col min="4348" max="4348" width="6.5546875" style="199" customWidth="1"/>
    <col min="4349" max="4349" width="17.77734375" style="199" customWidth="1"/>
    <col min="4350" max="4350" width="4.5546875" style="199" customWidth="1"/>
    <col min="4351" max="4351" width="8.5546875" style="199" customWidth="1"/>
    <col min="4352" max="4352" width="22.21875" style="199" customWidth="1"/>
    <col min="4353" max="4353" width="45.5546875" style="199" customWidth="1"/>
    <col min="4354" max="4354" width="4.5546875" style="199" customWidth="1"/>
    <col min="4355" max="4355" width="46.5546875" style="199" bestFit="1" customWidth="1"/>
    <col min="4356" max="4356" width="13.77734375" style="199" bestFit="1" customWidth="1"/>
    <col min="4357" max="4358" width="10.5546875" style="199" bestFit="1" customWidth="1"/>
    <col min="4359" max="4602" width="9.21875" style="199"/>
    <col min="4603" max="4603" width="3.5546875" style="199" customWidth="1"/>
    <col min="4604" max="4604" width="6.5546875" style="199" customWidth="1"/>
    <col min="4605" max="4605" width="17.77734375" style="199" customWidth="1"/>
    <col min="4606" max="4606" width="4.5546875" style="199" customWidth="1"/>
    <col min="4607" max="4607" width="8.5546875" style="199" customWidth="1"/>
    <col min="4608" max="4608" width="22.21875" style="199" customWidth="1"/>
    <col min="4609" max="4609" width="45.5546875" style="199" customWidth="1"/>
    <col min="4610" max="4610" width="4.5546875" style="199" customWidth="1"/>
    <col min="4611" max="4611" width="46.5546875" style="199" bestFit="1" customWidth="1"/>
    <col min="4612" max="4612" width="13.77734375" style="199" bestFit="1" customWidth="1"/>
    <col min="4613" max="4614" width="10.5546875" style="199" bestFit="1" customWidth="1"/>
    <col min="4615" max="4858" width="9.21875" style="199"/>
    <col min="4859" max="4859" width="3.5546875" style="199" customWidth="1"/>
    <col min="4860" max="4860" width="6.5546875" style="199" customWidth="1"/>
    <col min="4861" max="4861" width="17.77734375" style="199" customWidth="1"/>
    <col min="4862" max="4862" width="4.5546875" style="199" customWidth="1"/>
    <col min="4863" max="4863" width="8.5546875" style="199" customWidth="1"/>
    <col min="4864" max="4864" width="22.21875" style="199" customWidth="1"/>
    <col min="4865" max="4865" width="45.5546875" style="199" customWidth="1"/>
    <col min="4866" max="4866" width="4.5546875" style="199" customWidth="1"/>
    <col min="4867" max="4867" width="46.5546875" style="199" bestFit="1" customWidth="1"/>
    <col min="4868" max="4868" width="13.77734375" style="199" bestFit="1" customWidth="1"/>
    <col min="4869" max="4870" width="10.5546875" style="199" bestFit="1" customWidth="1"/>
    <col min="4871" max="5114" width="9.21875" style="199"/>
    <col min="5115" max="5115" width="3.5546875" style="199" customWidth="1"/>
    <col min="5116" max="5116" width="6.5546875" style="199" customWidth="1"/>
    <col min="5117" max="5117" width="17.77734375" style="199" customWidth="1"/>
    <col min="5118" max="5118" width="4.5546875" style="199" customWidth="1"/>
    <col min="5119" max="5119" width="8.5546875" style="199" customWidth="1"/>
    <col min="5120" max="5120" width="22.21875" style="199" customWidth="1"/>
    <col min="5121" max="5121" width="45.5546875" style="199" customWidth="1"/>
    <col min="5122" max="5122" width="4.5546875" style="199" customWidth="1"/>
    <col min="5123" max="5123" width="46.5546875" style="199" bestFit="1" customWidth="1"/>
    <col min="5124" max="5124" width="13.77734375" style="199" bestFit="1" customWidth="1"/>
    <col min="5125" max="5126" width="10.5546875" style="199" bestFit="1" customWidth="1"/>
    <col min="5127" max="5370" width="9.21875" style="199"/>
    <col min="5371" max="5371" width="3.5546875" style="199" customWidth="1"/>
    <col min="5372" max="5372" width="6.5546875" style="199" customWidth="1"/>
    <col min="5373" max="5373" width="17.77734375" style="199" customWidth="1"/>
    <col min="5374" max="5374" width="4.5546875" style="199" customWidth="1"/>
    <col min="5375" max="5375" width="8.5546875" style="199" customWidth="1"/>
    <col min="5376" max="5376" width="22.21875" style="199" customWidth="1"/>
    <col min="5377" max="5377" width="45.5546875" style="199" customWidth="1"/>
    <col min="5378" max="5378" width="4.5546875" style="199" customWidth="1"/>
    <col min="5379" max="5379" width="46.5546875" style="199" bestFit="1" customWidth="1"/>
    <col min="5380" max="5380" width="13.77734375" style="199" bestFit="1" customWidth="1"/>
    <col min="5381" max="5382" width="10.5546875" style="199" bestFit="1" customWidth="1"/>
    <col min="5383" max="5626" width="9.21875" style="199"/>
    <col min="5627" max="5627" width="3.5546875" style="199" customWidth="1"/>
    <col min="5628" max="5628" width="6.5546875" style="199" customWidth="1"/>
    <col min="5629" max="5629" width="17.77734375" style="199" customWidth="1"/>
    <col min="5630" max="5630" width="4.5546875" style="199" customWidth="1"/>
    <col min="5631" max="5631" width="8.5546875" style="199" customWidth="1"/>
    <col min="5632" max="5632" width="22.21875" style="199" customWidth="1"/>
    <col min="5633" max="5633" width="45.5546875" style="199" customWidth="1"/>
    <col min="5634" max="5634" width="4.5546875" style="199" customWidth="1"/>
    <col min="5635" max="5635" width="46.5546875" style="199" bestFit="1" customWidth="1"/>
    <col min="5636" max="5636" width="13.77734375" style="199" bestFit="1" customWidth="1"/>
    <col min="5637" max="5638" width="10.5546875" style="199" bestFit="1" customWidth="1"/>
    <col min="5639" max="5882" width="9.21875" style="199"/>
    <col min="5883" max="5883" width="3.5546875" style="199" customWidth="1"/>
    <col min="5884" max="5884" width="6.5546875" style="199" customWidth="1"/>
    <col min="5885" max="5885" width="17.77734375" style="199" customWidth="1"/>
    <col min="5886" max="5886" width="4.5546875" style="199" customWidth="1"/>
    <col min="5887" max="5887" width="8.5546875" style="199" customWidth="1"/>
    <col min="5888" max="5888" width="22.21875" style="199" customWidth="1"/>
    <col min="5889" max="5889" width="45.5546875" style="199" customWidth="1"/>
    <col min="5890" max="5890" width="4.5546875" style="199" customWidth="1"/>
    <col min="5891" max="5891" width="46.5546875" style="199" bestFit="1" customWidth="1"/>
    <col min="5892" max="5892" width="13.77734375" style="199" bestFit="1" customWidth="1"/>
    <col min="5893" max="5894" width="10.5546875" style="199" bestFit="1" customWidth="1"/>
    <col min="5895" max="6138" width="9.21875" style="199"/>
    <col min="6139" max="6139" width="3.5546875" style="199" customWidth="1"/>
    <col min="6140" max="6140" width="6.5546875" style="199" customWidth="1"/>
    <col min="6141" max="6141" width="17.77734375" style="199" customWidth="1"/>
    <col min="6142" max="6142" width="4.5546875" style="199" customWidth="1"/>
    <col min="6143" max="6143" width="8.5546875" style="199" customWidth="1"/>
    <col min="6144" max="6144" width="22.21875" style="199" customWidth="1"/>
    <col min="6145" max="6145" width="45.5546875" style="199" customWidth="1"/>
    <col min="6146" max="6146" width="4.5546875" style="199" customWidth="1"/>
    <col min="6147" max="6147" width="46.5546875" style="199" bestFit="1" customWidth="1"/>
    <col min="6148" max="6148" width="13.77734375" style="199" bestFit="1" customWidth="1"/>
    <col min="6149" max="6150" width="10.5546875" style="199" bestFit="1" customWidth="1"/>
    <col min="6151" max="6394" width="9.21875" style="199"/>
    <col min="6395" max="6395" width="3.5546875" style="199" customWidth="1"/>
    <col min="6396" max="6396" width="6.5546875" style="199" customWidth="1"/>
    <col min="6397" max="6397" width="17.77734375" style="199" customWidth="1"/>
    <col min="6398" max="6398" width="4.5546875" style="199" customWidth="1"/>
    <col min="6399" max="6399" width="8.5546875" style="199" customWidth="1"/>
    <col min="6400" max="6400" width="22.21875" style="199" customWidth="1"/>
    <col min="6401" max="6401" width="45.5546875" style="199" customWidth="1"/>
    <col min="6402" max="6402" width="4.5546875" style="199" customWidth="1"/>
    <col min="6403" max="6403" width="46.5546875" style="199" bestFit="1" customWidth="1"/>
    <col min="6404" max="6404" width="13.77734375" style="199" bestFit="1" customWidth="1"/>
    <col min="6405" max="6406" width="10.5546875" style="199" bestFit="1" customWidth="1"/>
    <col min="6407" max="6650" width="9.21875" style="199"/>
    <col min="6651" max="6651" width="3.5546875" style="199" customWidth="1"/>
    <col min="6652" max="6652" width="6.5546875" style="199" customWidth="1"/>
    <col min="6653" max="6653" width="17.77734375" style="199" customWidth="1"/>
    <col min="6654" max="6654" width="4.5546875" style="199" customWidth="1"/>
    <col min="6655" max="6655" width="8.5546875" style="199" customWidth="1"/>
    <col min="6656" max="6656" width="22.21875" style="199" customWidth="1"/>
    <col min="6657" max="6657" width="45.5546875" style="199" customWidth="1"/>
    <col min="6658" max="6658" width="4.5546875" style="199" customWidth="1"/>
    <col min="6659" max="6659" width="46.5546875" style="199" bestFit="1" customWidth="1"/>
    <col min="6660" max="6660" width="13.77734375" style="199" bestFit="1" customWidth="1"/>
    <col min="6661" max="6662" width="10.5546875" style="199" bestFit="1" customWidth="1"/>
    <col min="6663" max="6906" width="9.21875" style="199"/>
    <col min="6907" max="6907" width="3.5546875" style="199" customWidth="1"/>
    <col min="6908" max="6908" width="6.5546875" style="199" customWidth="1"/>
    <col min="6909" max="6909" width="17.77734375" style="199" customWidth="1"/>
    <col min="6910" max="6910" width="4.5546875" style="199" customWidth="1"/>
    <col min="6911" max="6911" width="8.5546875" style="199" customWidth="1"/>
    <col min="6912" max="6912" width="22.21875" style="199" customWidth="1"/>
    <col min="6913" max="6913" width="45.5546875" style="199" customWidth="1"/>
    <col min="6914" max="6914" width="4.5546875" style="199" customWidth="1"/>
    <col min="6915" max="6915" width="46.5546875" style="199" bestFit="1" customWidth="1"/>
    <col min="6916" max="6916" width="13.77734375" style="199" bestFit="1" customWidth="1"/>
    <col min="6917" max="6918" width="10.5546875" style="199" bestFit="1" customWidth="1"/>
    <col min="6919" max="7162" width="9.21875" style="199"/>
    <col min="7163" max="7163" width="3.5546875" style="199" customWidth="1"/>
    <col min="7164" max="7164" width="6.5546875" style="199" customWidth="1"/>
    <col min="7165" max="7165" width="17.77734375" style="199" customWidth="1"/>
    <col min="7166" max="7166" width="4.5546875" style="199" customWidth="1"/>
    <col min="7167" max="7167" width="8.5546875" style="199" customWidth="1"/>
    <col min="7168" max="7168" width="22.21875" style="199" customWidth="1"/>
    <col min="7169" max="7169" width="45.5546875" style="199" customWidth="1"/>
    <col min="7170" max="7170" width="4.5546875" style="199" customWidth="1"/>
    <col min="7171" max="7171" width="46.5546875" style="199" bestFit="1" customWidth="1"/>
    <col min="7172" max="7172" width="13.77734375" style="199" bestFit="1" customWidth="1"/>
    <col min="7173" max="7174" width="10.5546875" style="199" bestFit="1" customWidth="1"/>
    <col min="7175" max="7418" width="9.21875" style="199"/>
    <col min="7419" max="7419" width="3.5546875" style="199" customWidth="1"/>
    <col min="7420" max="7420" width="6.5546875" style="199" customWidth="1"/>
    <col min="7421" max="7421" width="17.77734375" style="199" customWidth="1"/>
    <col min="7422" max="7422" width="4.5546875" style="199" customWidth="1"/>
    <col min="7423" max="7423" width="8.5546875" style="199" customWidth="1"/>
    <col min="7424" max="7424" width="22.21875" style="199" customWidth="1"/>
    <col min="7425" max="7425" width="45.5546875" style="199" customWidth="1"/>
    <col min="7426" max="7426" width="4.5546875" style="199" customWidth="1"/>
    <col min="7427" max="7427" width="46.5546875" style="199" bestFit="1" customWidth="1"/>
    <col min="7428" max="7428" width="13.77734375" style="199" bestFit="1" customWidth="1"/>
    <col min="7429" max="7430" width="10.5546875" style="199" bestFit="1" customWidth="1"/>
    <col min="7431" max="7674" width="9.21875" style="199"/>
    <col min="7675" max="7675" width="3.5546875" style="199" customWidth="1"/>
    <col min="7676" max="7676" width="6.5546875" style="199" customWidth="1"/>
    <col min="7677" max="7677" width="17.77734375" style="199" customWidth="1"/>
    <col min="7678" max="7678" width="4.5546875" style="199" customWidth="1"/>
    <col min="7679" max="7679" width="8.5546875" style="199" customWidth="1"/>
    <col min="7680" max="7680" width="22.21875" style="199" customWidth="1"/>
    <col min="7681" max="7681" width="45.5546875" style="199" customWidth="1"/>
    <col min="7682" max="7682" width="4.5546875" style="199" customWidth="1"/>
    <col min="7683" max="7683" width="46.5546875" style="199" bestFit="1" customWidth="1"/>
    <col min="7684" max="7684" width="13.77734375" style="199" bestFit="1" customWidth="1"/>
    <col min="7685" max="7686" width="10.5546875" style="199" bestFit="1" customWidth="1"/>
    <col min="7687" max="7930" width="9.21875" style="199"/>
    <col min="7931" max="7931" width="3.5546875" style="199" customWidth="1"/>
    <col min="7932" max="7932" width="6.5546875" style="199" customWidth="1"/>
    <col min="7933" max="7933" width="17.77734375" style="199" customWidth="1"/>
    <col min="7934" max="7934" width="4.5546875" style="199" customWidth="1"/>
    <col min="7935" max="7935" width="8.5546875" style="199" customWidth="1"/>
    <col min="7936" max="7936" width="22.21875" style="199" customWidth="1"/>
    <col min="7937" max="7937" width="45.5546875" style="199" customWidth="1"/>
    <col min="7938" max="7938" width="4.5546875" style="199" customWidth="1"/>
    <col min="7939" max="7939" width="46.5546875" style="199" bestFit="1" customWidth="1"/>
    <col min="7940" max="7940" width="13.77734375" style="199" bestFit="1" customWidth="1"/>
    <col min="7941" max="7942" width="10.5546875" style="199" bestFit="1" customWidth="1"/>
    <col min="7943" max="8186" width="9.21875" style="199"/>
    <col min="8187" max="8187" width="3.5546875" style="199" customWidth="1"/>
    <col min="8188" max="8188" width="6.5546875" style="199" customWidth="1"/>
    <col min="8189" max="8189" width="17.77734375" style="199" customWidth="1"/>
    <col min="8190" max="8190" width="4.5546875" style="199" customWidth="1"/>
    <col min="8191" max="8191" width="8.5546875" style="199" customWidth="1"/>
    <col min="8192" max="8192" width="22.21875" style="199" customWidth="1"/>
    <col min="8193" max="8193" width="45.5546875" style="199" customWidth="1"/>
    <col min="8194" max="8194" width="4.5546875" style="199" customWidth="1"/>
    <col min="8195" max="8195" width="46.5546875" style="199" bestFit="1" customWidth="1"/>
    <col min="8196" max="8196" width="13.77734375" style="199" bestFit="1" customWidth="1"/>
    <col min="8197" max="8198" width="10.5546875" style="199" bestFit="1" customWidth="1"/>
    <col min="8199" max="8442" width="9.21875" style="199"/>
    <col min="8443" max="8443" width="3.5546875" style="199" customWidth="1"/>
    <col min="8444" max="8444" width="6.5546875" style="199" customWidth="1"/>
    <col min="8445" max="8445" width="17.77734375" style="199" customWidth="1"/>
    <col min="8446" max="8446" width="4.5546875" style="199" customWidth="1"/>
    <col min="8447" max="8447" width="8.5546875" style="199" customWidth="1"/>
    <col min="8448" max="8448" width="22.21875" style="199" customWidth="1"/>
    <col min="8449" max="8449" width="45.5546875" style="199" customWidth="1"/>
    <col min="8450" max="8450" width="4.5546875" style="199" customWidth="1"/>
    <col min="8451" max="8451" width="46.5546875" style="199" bestFit="1" customWidth="1"/>
    <col min="8452" max="8452" width="13.77734375" style="199" bestFit="1" customWidth="1"/>
    <col min="8453" max="8454" width="10.5546875" style="199" bestFit="1" customWidth="1"/>
    <col min="8455" max="8698" width="9.21875" style="199"/>
    <col min="8699" max="8699" width="3.5546875" style="199" customWidth="1"/>
    <col min="8700" max="8700" width="6.5546875" style="199" customWidth="1"/>
    <col min="8701" max="8701" width="17.77734375" style="199" customWidth="1"/>
    <col min="8702" max="8702" width="4.5546875" style="199" customWidth="1"/>
    <col min="8703" max="8703" width="8.5546875" style="199" customWidth="1"/>
    <col min="8704" max="8704" width="22.21875" style="199" customWidth="1"/>
    <col min="8705" max="8705" width="45.5546875" style="199" customWidth="1"/>
    <col min="8706" max="8706" width="4.5546875" style="199" customWidth="1"/>
    <col min="8707" max="8707" width="46.5546875" style="199" bestFit="1" customWidth="1"/>
    <col min="8708" max="8708" width="13.77734375" style="199" bestFit="1" customWidth="1"/>
    <col min="8709" max="8710" width="10.5546875" style="199" bestFit="1" customWidth="1"/>
    <col min="8711" max="8954" width="9.21875" style="199"/>
    <col min="8955" max="8955" width="3.5546875" style="199" customWidth="1"/>
    <col min="8956" max="8956" width="6.5546875" style="199" customWidth="1"/>
    <col min="8957" max="8957" width="17.77734375" style="199" customWidth="1"/>
    <col min="8958" max="8958" width="4.5546875" style="199" customWidth="1"/>
    <col min="8959" max="8959" width="8.5546875" style="199" customWidth="1"/>
    <col min="8960" max="8960" width="22.21875" style="199" customWidth="1"/>
    <col min="8961" max="8961" width="45.5546875" style="199" customWidth="1"/>
    <col min="8962" max="8962" width="4.5546875" style="199" customWidth="1"/>
    <col min="8963" max="8963" width="46.5546875" style="199" bestFit="1" customWidth="1"/>
    <col min="8964" max="8964" width="13.77734375" style="199" bestFit="1" customWidth="1"/>
    <col min="8965" max="8966" width="10.5546875" style="199" bestFit="1" customWidth="1"/>
    <col min="8967" max="9210" width="9.21875" style="199"/>
    <col min="9211" max="9211" width="3.5546875" style="199" customWidth="1"/>
    <col min="9212" max="9212" width="6.5546875" style="199" customWidth="1"/>
    <col min="9213" max="9213" width="17.77734375" style="199" customWidth="1"/>
    <col min="9214" max="9214" width="4.5546875" style="199" customWidth="1"/>
    <col min="9215" max="9215" width="8.5546875" style="199" customWidth="1"/>
    <col min="9216" max="9216" width="22.21875" style="199" customWidth="1"/>
    <col min="9217" max="9217" width="45.5546875" style="199" customWidth="1"/>
    <col min="9218" max="9218" width="4.5546875" style="199" customWidth="1"/>
    <col min="9219" max="9219" width="46.5546875" style="199" bestFit="1" customWidth="1"/>
    <col min="9220" max="9220" width="13.77734375" style="199" bestFit="1" customWidth="1"/>
    <col min="9221" max="9222" width="10.5546875" style="199" bestFit="1" customWidth="1"/>
    <col min="9223" max="9466" width="9.21875" style="199"/>
    <col min="9467" max="9467" width="3.5546875" style="199" customWidth="1"/>
    <col min="9468" max="9468" width="6.5546875" style="199" customWidth="1"/>
    <col min="9469" max="9469" width="17.77734375" style="199" customWidth="1"/>
    <col min="9470" max="9470" width="4.5546875" style="199" customWidth="1"/>
    <col min="9471" max="9471" width="8.5546875" style="199" customWidth="1"/>
    <col min="9472" max="9472" width="22.21875" style="199" customWidth="1"/>
    <col min="9473" max="9473" width="45.5546875" style="199" customWidth="1"/>
    <col min="9474" max="9474" width="4.5546875" style="199" customWidth="1"/>
    <col min="9475" max="9475" width="46.5546875" style="199" bestFit="1" customWidth="1"/>
    <col min="9476" max="9476" width="13.77734375" style="199" bestFit="1" customWidth="1"/>
    <col min="9477" max="9478" width="10.5546875" style="199" bestFit="1" customWidth="1"/>
    <col min="9479" max="9722" width="9.21875" style="199"/>
    <col min="9723" max="9723" width="3.5546875" style="199" customWidth="1"/>
    <col min="9724" max="9724" width="6.5546875" style="199" customWidth="1"/>
    <col min="9725" max="9725" width="17.77734375" style="199" customWidth="1"/>
    <col min="9726" max="9726" width="4.5546875" style="199" customWidth="1"/>
    <col min="9727" max="9727" width="8.5546875" style="199" customWidth="1"/>
    <col min="9728" max="9728" width="22.21875" style="199" customWidth="1"/>
    <col min="9729" max="9729" width="45.5546875" style="199" customWidth="1"/>
    <col min="9730" max="9730" width="4.5546875" style="199" customWidth="1"/>
    <col min="9731" max="9731" width="46.5546875" style="199" bestFit="1" customWidth="1"/>
    <col min="9732" max="9732" width="13.77734375" style="199" bestFit="1" customWidth="1"/>
    <col min="9733" max="9734" width="10.5546875" style="199" bestFit="1" customWidth="1"/>
    <col min="9735" max="9978" width="9.21875" style="199"/>
    <col min="9979" max="9979" width="3.5546875" style="199" customWidth="1"/>
    <col min="9980" max="9980" width="6.5546875" style="199" customWidth="1"/>
    <col min="9981" max="9981" width="17.77734375" style="199" customWidth="1"/>
    <col min="9982" max="9982" width="4.5546875" style="199" customWidth="1"/>
    <col min="9983" max="9983" width="8.5546875" style="199" customWidth="1"/>
    <col min="9984" max="9984" width="22.21875" style="199" customWidth="1"/>
    <col min="9985" max="9985" width="45.5546875" style="199" customWidth="1"/>
    <col min="9986" max="9986" width="4.5546875" style="199" customWidth="1"/>
    <col min="9987" max="9987" width="46.5546875" style="199" bestFit="1" customWidth="1"/>
    <col min="9988" max="9988" width="13.77734375" style="199" bestFit="1" customWidth="1"/>
    <col min="9989" max="9990" width="10.5546875" style="199" bestFit="1" customWidth="1"/>
    <col min="9991" max="10234" width="9.21875" style="199"/>
    <col min="10235" max="10235" width="3.5546875" style="199" customWidth="1"/>
    <col min="10236" max="10236" width="6.5546875" style="199" customWidth="1"/>
    <col min="10237" max="10237" width="17.77734375" style="199" customWidth="1"/>
    <col min="10238" max="10238" width="4.5546875" style="199" customWidth="1"/>
    <col min="10239" max="10239" width="8.5546875" style="199" customWidth="1"/>
    <col min="10240" max="10240" width="22.21875" style="199" customWidth="1"/>
    <col min="10241" max="10241" width="45.5546875" style="199" customWidth="1"/>
    <col min="10242" max="10242" width="4.5546875" style="199" customWidth="1"/>
    <col min="10243" max="10243" width="46.5546875" style="199" bestFit="1" customWidth="1"/>
    <col min="10244" max="10244" width="13.77734375" style="199" bestFit="1" customWidth="1"/>
    <col min="10245" max="10246" width="10.5546875" style="199" bestFit="1" customWidth="1"/>
    <col min="10247" max="10490" width="9.21875" style="199"/>
    <col min="10491" max="10491" width="3.5546875" style="199" customWidth="1"/>
    <col min="10492" max="10492" width="6.5546875" style="199" customWidth="1"/>
    <col min="10493" max="10493" width="17.77734375" style="199" customWidth="1"/>
    <col min="10494" max="10494" width="4.5546875" style="199" customWidth="1"/>
    <col min="10495" max="10495" width="8.5546875" style="199" customWidth="1"/>
    <col min="10496" max="10496" width="22.21875" style="199" customWidth="1"/>
    <col min="10497" max="10497" width="45.5546875" style="199" customWidth="1"/>
    <col min="10498" max="10498" width="4.5546875" style="199" customWidth="1"/>
    <col min="10499" max="10499" width="46.5546875" style="199" bestFit="1" customWidth="1"/>
    <col min="10500" max="10500" width="13.77734375" style="199" bestFit="1" customWidth="1"/>
    <col min="10501" max="10502" width="10.5546875" style="199" bestFit="1" customWidth="1"/>
    <col min="10503" max="10746" width="9.21875" style="199"/>
    <col min="10747" max="10747" width="3.5546875" style="199" customWidth="1"/>
    <col min="10748" max="10748" width="6.5546875" style="199" customWidth="1"/>
    <col min="10749" max="10749" width="17.77734375" style="199" customWidth="1"/>
    <col min="10750" max="10750" width="4.5546875" style="199" customWidth="1"/>
    <col min="10751" max="10751" width="8.5546875" style="199" customWidth="1"/>
    <col min="10752" max="10752" width="22.21875" style="199" customWidth="1"/>
    <col min="10753" max="10753" width="45.5546875" style="199" customWidth="1"/>
    <col min="10754" max="10754" width="4.5546875" style="199" customWidth="1"/>
    <col min="10755" max="10755" width="46.5546875" style="199" bestFit="1" customWidth="1"/>
    <col min="10756" max="10756" width="13.77734375" style="199" bestFit="1" customWidth="1"/>
    <col min="10757" max="10758" width="10.5546875" style="199" bestFit="1" customWidth="1"/>
    <col min="10759" max="11002" width="9.21875" style="199"/>
    <col min="11003" max="11003" width="3.5546875" style="199" customWidth="1"/>
    <col min="11004" max="11004" width="6.5546875" style="199" customWidth="1"/>
    <col min="11005" max="11005" width="17.77734375" style="199" customWidth="1"/>
    <col min="11006" max="11006" width="4.5546875" style="199" customWidth="1"/>
    <col min="11007" max="11007" width="8.5546875" style="199" customWidth="1"/>
    <col min="11008" max="11008" width="22.21875" style="199" customWidth="1"/>
    <col min="11009" max="11009" width="45.5546875" style="199" customWidth="1"/>
    <col min="11010" max="11010" width="4.5546875" style="199" customWidth="1"/>
    <col min="11011" max="11011" width="46.5546875" style="199" bestFit="1" customWidth="1"/>
    <col min="11012" max="11012" width="13.77734375" style="199" bestFit="1" customWidth="1"/>
    <col min="11013" max="11014" width="10.5546875" style="199" bestFit="1" customWidth="1"/>
    <col min="11015" max="11258" width="9.21875" style="199"/>
    <col min="11259" max="11259" width="3.5546875" style="199" customWidth="1"/>
    <col min="11260" max="11260" width="6.5546875" style="199" customWidth="1"/>
    <col min="11261" max="11261" width="17.77734375" style="199" customWidth="1"/>
    <col min="11262" max="11262" width="4.5546875" style="199" customWidth="1"/>
    <col min="11263" max="11263" width="8.5546875" style="199" customWidth="1"/>
    <col min="11264" max="11264" width="22.21875" style="199" customWidth="1"/>
    <col min="11265" max="11265" width="45.5546875" style="199" customWidth="1"/>
    <col min="11266" max="11266" width="4.5546875" style="199" customWidth="1"/>
    <col min="11267" max="11267" width="46.5546875" style="199" bestFit="1" customWidth="1"/>
    <col min="11268" max="11268" width="13.77734375" style="199" bestFit="1" customWidth="1"/>
    <col min="11269" max="11270" width="10.5546875" style="199" bestFit="1" customWidth="1"/>
    <col min="11271" max="11514" width="9.21875" style="199"/>
    <col min="11515" max="11515" width="3.5546875" style="199" customWidth="1"/>
    <col min="11516" max="11516" width="6.5546875" style="199" customWidth="1"/>
    <col min="11517" max="11517" width="17.77734375" style="199" customWidth="1"/>
    <col min="11518" max="11518" width="4.5546875" style="199" customWidth="1"/>
    <col min="11519" max="11519" width="8.5546875" style="199" customWidth="1"/>
    <col min="11520" max="11520" width="22.21875" style="199" customWidth="1"/>
    <col min="11521" max="11521" width="45.5546875" style="199" customWidth="1"/>
    <col min="11522" max="11522" width="4.5546875" style="199" customWidth="1"/>
    <col min="11523" max="11523" width="46.5546875" style="199" bestFit="1" customWidth="1"/>
    <col min="11524" max="11524" width="13.77734375" style="199" bestFit="1" customWidth="1"/>
    <col min="11525" max="11526" width="10.5546875" style="199" bestFit="1" customWidth="1"/>
    <col min="11527" max="11770" width="9.21875" style="199"/>
    <col min="11771" max="11771" width="3.5546875" style="199" customWidth="1"/>
    <col min="11772" max="11772" width="6.5546875" style="199" customWidth="1"/>
    <col min="11773" max="11773" width="17.77734375" style="199" customWidth="1"/>
    <col min="11774" max="11774" width="4.5546875" style="199" customWidth="1"/>
    <col min="11775" max="11775" width="8.5546875" style="199" customWidth="1"/>
    <col min="11776" max="11776" width="22.21875" style="199" customWidth="1"/>
    <col min="11777" max="11777" width="45.5546875" style="199" customWidth="1"/>
    <col min="11778" max="11778" width="4.5546875" style="199" customWidth="1"/>
    <col min="11779" max="11779" width="46.5546875" style="199" bestFit="1" customWidth="1"/>
    <col min="11780" max="11780" width="13.77734375" style="199" bestFit="1" customWidth="1"/>
    <col min="11781" max="11782" width="10.5546875" style="199" bestFit="1" customWidth="1"/>
    <col min="11783" max="12026" width="9.21875" style="199"/>
    <col min="12027" max="12027" width="3.5546875" style="199" customWidth="1"/>
    <col min="12028" max="12028" width="6.5546875" style="199" customWidth="1"/>
    <col min="12029" max="12029" width="17.77734375" style="199" customWidth="1"/>
    <col min="12030" max="12030" width="4.5546875" style="199" customWidth="1"/>
    <col min="12031" max="12031" width="8.5546875" style="199" customWidth="1"/>
    <col min="12032" max="12032" width="22.21875" style="199" customWidth="1"/>
    <col min="12033" max="12033" width="45.5546875" style="199" customWidth="1"/>
    <col min="12034" max="12034" width="4.5546875" style="199" customWidth="1"/>
    <col min="12035" max="12035" width="46.5546875" style="199" bestFit="1" customWidth="1"/>
    <col min="12036" max="12036" width="13.77734375" style="199" bestFit="1" customWidth="1"/>
    <col min="12037" max="12038" width="10.5546875" style="199" bestFit="1" customWidth="1"/>
    <col min="12039" max="12282" width="9.21875" style="199"/>
    <col min="12283" max="12283" width="3.5546875" style="199" customWidth="1"/>
    <col min="12284" max="12284" width="6.5546875" style="199" customWidth="1"/>
    <col min="12285" max="12285" width="17.77734375" style="199" customWidth="1"/>
    <col min="12286" max="12286" width="4.5546875" style="199" customWidth="1"/>
    <col min="12287" max="12287" width="8.5546875" style="199" customWidth="1"/>
    <col min="12288" max="12288" width="22.21875" style="199" customWidth="1"/>
    <col min="12289" max="12289" width="45.5546875" style="199" customWidth="1"/>
    <col min="12290" max="12290" width="4.5546875" style="199" customWidth="1"/>
    <col min="12291" max="12291" width="46.5546875" style="199" bestFit="1" customWidth="1"/>
    <col min="12292" max="12292" width="13.77734375" style="199" bestFit="1" customWidth="1"/>
    <col min="12293" max="12294" width="10.5546875" style="199" bestFit="1" customWidth="1"/>
    <col min="12295" max="12538" width="9.21875" style="199"/>
    <col min="12539" max="12539" width="3.5546875" style="199" customWidth="1"/>
    <col min="12540" max="12540" width="6.5546875" style="199" customWidth="1"/>
    <col min="12541" max="12541" width="17.77734375" style="199" customWidth="1"/>
    <col min="12542" max="12542" width="4.5546875" style="199" customWidth="1"/>
    <col min="12543" max="12543" width="8.5546875" style="199" customWidth="1"/>
    <col min="12544" max="12544" width="22.21875" style="199" customWidth="1"/>
    <col min="12545" max="12545" width="45.5546875" style="199" customWidth="1"/>
    <col min="12546" max="12546" width="4.5546875" style="199" customWidth="1"/>
    <col min="12547" max="12547" width="46.5546875" style="199" bestFit="1" customWidth="1"/>
    <col min="12548" max="12548" width="13.77734375" style="199" bestFit="1" customWidth="1"/>
    <col min="12549" max="12550" width="10.5546875" style="199" bestFit="1" customWidth="1"/>
    <col min="12551" max="12794" width="9.21875" style="199"/>
    <col min="12795" max="12795" width="3.5546875" style="199" customWidth="1"/>
    <col min="12796" max="12796" width="6.5546875" style="199" customWidth="1"/>
    <col min="12797" max="12797" width="17.77734375" style="199" customWidth="1"/>
    <col min="12798" max="12798" width="4.5546875" style="199" customWidth="1"/>
    <col min="12799" max="12799" width="8.5546875" style="199" customWidth="1"/>
    <col min="12800" max="12800" width="22.21875" style="199" customWidth="1"/>
    <col min="12801" max="12801" width="45.5546875" style="199" customWidth="1"/>
    <col min="12802" max="12802" width="4.5546875" style="199" customWidth="1"/>
    <col min="12803" max="12803" width="46.5546875" style="199" bestFit="1" customWidth="1"/>
    <col min="12804" max="12804" width="13.77734375" style="199" bestFit="1" customWidth="1"/>
    <col min="12805" max="12806" width="10.5546875" style="199" bestFit="1" customWidth="1"/>
    <col min="12807" max="13050" width="9.21875" style="199"/>
    <col min="13051" max="13051" width="3.5546875" style="199" customWidth="1"/>
    <col min="13052" max="13052" width="6.5546875" style="199" customWidth="1"/>
    <col min="13053" max="13053" width="17.77734375" style="199" customWidth="1"/>
    <col min="13054" max="13054" width="4.5546875" style="199" customWidth="1"/>
    <col min="13055" max="13055" width="8.5546875" style="199" customWidth="1"/>
    <col min="13056" max="13056" width="22.21875" style="199" customWidth="1"/>
    <col min="13057" max="13057" width="45.5546875" style="199" customWidth="1"/>
    <col min="13058" max="13058" width="4.5546875" style="199" customWidth="1"/>
    <col min="13059" max="13059" width="46.5546875" style="199" bestFit="1" customWidth="1"/>
    <col min="13060" max="13060" width="13.77734375" style="199" bestFit="1" customWidth="1"/>
    <col min="13061" max="13062" width="10.5546875" style="199" bestFit="1" customWidth="1"/>
    <col min="13063" max="13306" width="9.21875" style="199"/>
    <col min="13307" max="13307" width="3.5546875" style="199" customWidth="1"/>
    <col min="13308" max="13308" width="6.5546875" style="199" customWidth="1"/>
    <col min="13309" max="13309" width="17.77734375" style="199" customWidth="1"/>
    <col min="13310" max="13310" width="4.5546875" style="199" customWidth="1"/>
    <col min="13311" max="13311" width="8.5546875" style="199" customWidth="1"/>
    <col min="13312" max="13312" width="22.21875" style="199" customWidth="1"/>
    <col min="13313" max="13313" width="45.5546875" style="199" customWidth="1"/>
    <col min="13314" max="13314" width="4.5546875" style="199" customWidth="1"/>
    <col min="13315" max="13315" width="46.5546875" style="199" bestFit="1" customWidth="1"/>
    <col min="13316" max="13316" width="13.77734375" style="199" bestFit="1" customWidth="1"/>
    <col min="13317" max="13318" width="10.5546875" style="199" bestFit="1" customWidth="1"/>
    <col min="13319" max="13562" width="9.21875" style="199"/>
    <col min="13563" max="13563" width="3.5546875" style="199" customWidth="1"/>
    <col min="13564" max="13564" width="6.5546875" style="199" customWidth="1"/>
    <col min="13565" max="13565" width="17.77734375" style="199" customWidth="1"/>
    <col min="13566" max="13566" width="4.5546875" style="199" customWidth="1"/>
    <col min="13567" max="13567" width="8.5546875" style="199" customWidth="1"/>
    <col min="13568" max="13568" width="22.21875" style="199" customWidth="1"/>
    <col min="13569" max="13569" width="45.5546875" style="199" customWidth="1"/>
    <col min="13570" max="13570" width="4.5546875" style="199" customWidth="1"/>
    <col min="13571" max="13571" width="46.5546875" style="199" bestFit="1" customWidth="1"/>
    <col min="13572" max="13572" width="13.77734375" style="199" bestFit="1" customWidth="1"/>
    <col min="13573" max="13574" width="10.5546875" style="199" bestFit="1" customWidth="1"/>
    <col min="13575" max="13818" width="9.21875" style="199"/>
    <col min="13819" max="13819" width="3.5546875" style="199" customWidth="1"/>
    <col min="13820" max="13820" width="6.5546875" style="199" customWidth="1"/>
    <col min="13821" max="13821" width="17.77734375" style="199" customWidth="1"/>
    <col min="13822" max="13822" width="4.5546875" style="199" customWidth="1"/>
    <col min="13823" max="13823" width="8.5546875" style="199" customWidth="1"/>
    <col min="13824" max="13824" width="22.21875" style="199" customWidth="1"/>
    <col min="13825" max="13825" width="45.5546875" style="199" customWidth="1"/>
    <col min="13826" max="13826" width="4.5546875" style="199" customWidth="1"/>
    <col min="13827" max="13827" width="46.5546875" style="199" bestFit="1" customWidth="1"/>
    <col min="13828" max="13828" width="13.77734375" style="199" bestFit="1" customWidth="1"/>
    <col min="13829" max="13830" width="10.5546875" style="199" bestFit="1" customWidth="1"/>
    <col min="13831" max="14074" width="9.21875" style="199"/>
    <col min="14075" max="14075" width="3.5546875" style="199" customWidth="1"/>
    <col min="14076" max="14076" width="6.5546875" style="199" customWidth="1"/>
    <col min="14077" max="14077" width="17.77734375" style="199" customWidth="1"/>
    <col min="14078" max="14078" width="4.5546875" style="199" customWidth="1"/>
    <col min="14079" max="14079" width="8.5546875" style="199" customWidth="1"/>
    <col min="14080" max="14080" width="22.21875" style="199" customWidth="1"/>
    <col min="14081" max="14081" width="45.5546875" style="199" customWidth="1"/>
    <col min="14082" max="14082" width="4.5546875" style="199" customWidth="1"/>
    <col min="14083" max="14083" width="46.5546875" style="199" bestFit="1" customWidth="1"/>
    <col min="14084" max="14084" width="13.77734375" style="199" bestFit="1" customWidth="1"/>
    <col min="14085" max="14086" width="10.5546875" style="199" bestFit="1" customWidth="1"/>
    <col min="14087" max="14330" width="9.21875" style="199"/>
    <col min="14331" max="14331" width="3.5546875" style="199" customWidth="1"/>
    <col min="14332" max="14332" width="6.5546875" style="199" customWidth="1"/>
    <col min="14333" max="14333" width="17.77734375" style="199" customWidth="1"/>
    <col min="14334" max="14334" width="4.5546875" style="199" customWidth="1"/>
    <col min="14335" max="14335" width="8.5546875" style="199" customWidth="1"/>
    <col min="14336" max="14336" width="22.21875" style="199" customWidth="1"/>
    <col min="14337" max="14337" width="45.5546875" style="199" customWidth="1"/>
    <col min="14338" max="14338" width="4.5546875" style="199" customWidth="1"/>
    <col min="14339" max="14339" width="46.5546875" style="199" bestFit="1" customWidth="1"/>
    <col min="14340" max="14340" width="13.77734375" style="199" bestFit="1" customWidth="1"/>
    <col min="14341" max="14342" width="10.5546875" style="199" bestFit="1" customWidth="1"/>
    <col min="14343" max="14586" width="9.21875" style="199"/>
    <col min="14587" max="14587" width="3.5546875" style="199" customWidth="1"/>
    <col min="14588" max="14588" width="6.5546875" style="199" customWidth="1"/>
    <col min="14589" max="14589" width="17.77734375" style="199" customWidth="1"/>
    <col min="14590" max="14590" width="4.5546875" style="199" customWidth="1"/>
    <col min="14591" max="14591" width="8.5546875" style="199" customWidth="1"/>
    <col min="14592" max="14592" width="22.21875" style="199" customWidth="1"/>
    <col min="14593" max="14593" width="45.5546875" style="199" customWidth="1"/>
    <col min="14594" max="14594" width="4.5546875" style="199" customWidth="1"/>
    <col min="14595" max="14595" width="46.5546875" style="199" bestFit="1" customWidth="1"/>
    <col min="14596" max="14596" width="13.77734375" style="199" bestFit="1" customWidth="1"/>
    <col min="14597" max="14598" width="10.5546875" style="199" bestFit="1" customWidth="1"/>
    <col min="14599" max="14842" width="9.21875" style="199"/>
    <col min="14843" max="14843" width="3.5546875" style="199" customWidth="1"/>
    <col min="14844" max="14844" width="6.5546875" style="199" customWidth="1"/>
    <col min="14845" max="14845" width="17.77734375" style="199" customWidth="1"/>
    <col min="14846" max="14846" width="4.5546875" style="199" customWidth="1"/>
    <col min="14847" max="14847" width="8.5546875" style="199" customWidth="1"/>
    <col min="14848" max="14848" width="22.21875" style="199" customWidth="1"/>
    <col min="14849" max="14849" width="45.5546875" style="199" customWidth="1"/>
    <col min="14850" max="14850" width="4.5546875" style="199" customWidth="1"/>
    <col min="14851" max="14851" width="46.5546875" style="199" bestFit="1" customWidth="1"/>
    <col min="14852" max="14852" width="13.77734375" style="199" bestFit="1" customWidth="1"/>
    <col min="14853" max="14854" width="10.5546875" style="199" bestFit="1" customWidth="1"/>
    <col min="14855" max="15098" width="9.21875" style="199"/>
    <col min="15099" max="15099" width="3.5546875" style="199" customWidth="1"/>
    <col min="15100" max="15100" width="6.5546875" style="199" customWidth="1"/>
    <col min="15101" max="15101" width="17.77734375" style="199" customWidth="1"/>
    <col min="15102" max="15102" width="4.5546875" style="199" customWidth="1"/>
    <col min="15103" max="15103" width="8.5546875" style="199" customWidth="1"/>
    <col min="15104" max="15104" width="22.21875" style="199" customWidth="1"/>
    <col min="15105" max="15105" width="45.5546875" style="199" customWidth="1"/>
    <col min="15106" max="15106" width="4.5546875" style="199" customWidth="1"/>
    <col min="15107" max="15107" width="46.5546875" style="199" bestFit="1" customWidth="1"/>
    <col min="15108" max="15108" width="13.77734375" style="199" bestFit="1" customWidth="1"/>
    <col min="15109" max="15110" width="10.5546875" style="199" bestFit="1" customWidth="1"/>
    <col min="15111" max="15354" width="9.21875" style="199"/>
    <col min="15355" max="15355" width="3.5546875" style="199" customWidth="1"/>
    <col min="15356" max="15356" width="6.5546875" style="199" customWidth="1"/>
    <col min="15357" max="15357" width="17.77734375" style="199" customWidth="1"/>
    <col min="15358" max="15358" width="4.5546875" style="199" customWidth="1"/>
    <col min="15359" max="15359" width="8.5546875" style="199" customWidth="1"/>
    <col min="15360" max="15360" width="22.21875" style="199" customWidth="1"/>
    <col min="15361" max="15361" width="45.5546875" style="199" customWidth="1"/>
    <col min="15362" max="15362" width="4.5546875" style="199" customWidth="1"/>
    <col min="15363" max="15363" width="46.5546875" style="199" bestFit="1" customWidth="1"/>
    <col min="15364" max="15364" width="13.77734375" style="199" bestFit="1" customWidth="1"/>
    <col min="15365" max="15366" width="10.5546875" style="199" bestFit="1" customWidth="1"/>
    <col min="15367" max="15610" width="9.21875" style="199"/>
    <col min="15611" max="15611" width="3.5546875" style="199" customWidth="1"/>
    <col min="15612" max="15612" width="6.5546875" style="199" customWidth="1"/>
    <col min="15613" max="15613" width="17.77734375" style="199" customWidth="1"/>
    <col min="15614" max="15614" width="4.5546875" style="199" customWidth="1"/>
    <col min="15615" max="15615" width="8.5546875" style="199" customWidth="1"/>
    <col min="15616" max="15616" width="22.21875" style="199" customWidth="1"/>
    <col min="15617" max="15617" width="45.5546875" style="199" customWidth="1"/>
    <col min="15618" max="15618" width="4.5546875" style="199" customWidth="1"/>
    <col min="15619" max="15619" width="46.5546875" style="199" bestFit="1" customWidth="1"/>
    <col min="15620" max="15620" width="13.77734375" style="199" bestFit="1" customWidth="1"/>
    <col min="15621" max="15622" width="10.5546875" style="199" bestFit="1" customWidth="1"/>
    <col min="15623" max="15866" width="9.21875" style="199"/>
    <col min="15867" max="15867" width="3.5546875" style="199" customWidth="1"/>
    <col min="15868" max="15868" width="6.5546875" style="199" customWidth="1"/>
    <col min="15869" max="15869" width="17.77734375" style="199" customWidth="1"/>
    <col min="15870" max="15870" width="4.5546875" style="199" customWidth="1"/>
    <col min="15871" max="15871" width="8.5546875" style="199" customWidth="1"/>
    <col min="15872" max="15872" width="22.21875" style="199" customWidth="1"/>
    <col min="15873" max="15873" width="45.5546875" style="199" customWidth="1"/>
    <col min="15874" max="15874" width="4.5546875" style="199" customWidth="1"/>
    <col min="15875" max="15875" width="46.5546875" style="199" bestFit="1" customWidth="1"/>
    <col min="15876" max="15876" width="13.77734375" style="199" bestFit="1" customWidth="1"/>
    <col min="15877" max="15878" width="10.5546875" style="199" bestFit="1" customWidth="1"/>
    <col min="15879" max="16122" width="9.21875" style="199"/>
    <col min="16123" max="16123" width="3.5546875" style="199" customWidth="1"/>
    <col min="16124" max="16124" width="6.5546875" style="199" customWidth="1"/>
    <col min="16125" max="16125" width="17.77734375" style="199" customWidth="1"/>
    <col min="16126" max="16126" width="4.5546875" style="199" customWidth="1"/>
    <col min="16127" max="16127" width="8.5546875" style="199" customWidth="1"/>
    <col min="16128" max="16128" width="22.21875" style="199" customWidth="1"/>
    <col min="16129" max="16129" width="45.5546875" style="199" customWidth="1"/>
    <col min="16130" max="16130" width="4.5546875" style="199" customWidth="1"/>
    <col min="16131" max="16131" width="46.5546875" style="199" bestFit="1" customWidth="1"/>
    <col min="16132" max="16132" width="13.77734375" style="199" bestFit="1" customWidth="1"/>
    <col min="16133" max="16134" width="10.5546875" style="199" bestFit="1" customWidth="1"/>
    <col min="16135" max="16384" width="9.21875" style="199"/>
  </cols>
  <sheetData>
    <row r="4" spans="1:12" x14ac:dyDescent="0.35">
      <c r="B4" s="194" t="s">
        <v>74</v>
      </c>
    </row>
    <row r="5" spans="1:12" x14ac:dyDescent="0.35">
      <c r="B5" s="15" t="s">
        <v>75</v>
      </c>
      <c r="C5" s="243"/>
      <c r="D5" s="16" t="str">
        <f>'Covering Letter '!D5</f>
        <v>CS/0066/2025</v>
      </c>
    </row>
    <row r="6" spans="1:12" x14ac:dyDescent="0.35">
      <c r="B6" s="194"/>
    </row>
    <row r="7" spans="1:12" x14ac:dyDescent="0.3">
      <c r="B7" s="358" t="s">
        <v>132</v>
      </c>
      <c r="C7" s="359"/>
      <c r="D7" s="359"/>
      <c r="E7" s="359"/>
      <c r="F7" s="359"/>
      <c r="G7" s="359"/>
      <c r="H7" s="359"/>
      <c r="I7" s="359"/>
      <c r="J7" s="359"/>
      <c r="K7" s="359"/>
      <c r="L7" s="360"/>
    </row>
    <row r="8" spans="1:12" s="189" customFormat="1" ht="15" customHeight="1" thickBot="1" x14ac:dyDescent="0.4">
      <c r="B8" s="185" t="s">
        <v>133</v>
      </c>
      <c r="C8" s="185" t="s">
        <v>134</v>
      </c>
      <c r="D8" s="185" t="s">
        <v>134</v>
      </c>
      <c r="E8" s="361" t="s">
        <v>135</v>
      </c>
      <c r="F8" s="361"/>
      <c r="G8" s="361" t="s">
        <v>135</v>
      </c>
      <c r="H8" s="361"/>
      <c r="I8" s="169" t="s">
        <v>573</v>
      </c>
      <c r="J8" s="185" t="s">
        <v>137</v>
      </c>
      <c r="K8" s="169" t="s">
        <v>54</v>
      </c>
      <c r="L8" s="185" t="s">
        <v>138</v>
      </c>
    </row>
    <row r="9" spans="1:12" ht="15" thickTop="1" x14ac:dyDescent="0.3">
      <c r="B9" s="170">
        <v>1</v>
      </c>
      <c r="C9" s="171" t="s">
        <v>139</v>
      </c>
      <c r="D9" s="181" t="s">
        <v>139</v>
      </c>
      <c r="E9" s="172">
        <v>4</v>
      </c>
      <c r="F9" s="173" t="s">
        <v>140</v>
      </c>
      <c r="G9" s="173"/>
      <c r="H9" s="173"/>
      <c r="I9" s="176">
        <v>0</v>
      </c>
      <c r="J9" s="170">
        <v>0</v>
      </c>
      <c r="K9" s="180">
        <v>0</v>
      </c>
      <c r="L9" s="178" t="s">
        <v>141</v>
      </c>
    </row>
    <row r="10" spans="1:12" x14ac:dyDescent="0.3">
      <c r="B10" s="170">
        <v>2</v>
      </c>
      <c r="C10" s="171" t="s">
        <v>142</v>
      </c>
      <c r="D10" s="181" t="s">
        <v>142</v>
      </c>
      <c r="E10" s="172">
        <v>8</v>
      </c>
      <c r="F10" s="173" t="s">
        <v>140</v>
      </c>
      <c r="G10" s="173"/>
      <c r="H10" s="173"/>
      <c r="I10" s="176">
        <v>0</v>
      </c>
      <c r="J10" s="170">
        <v>0</v>
      </c>
      <c r="K10" s="180">
        <v>0</v>
      </c>
      <c r="L10" s="178" t="s">
        <v>141</v>
      </c>
    </row>
    <row r="11" spans="1:12" x14ac:dyDescent="0.3">
      <c r="B11" s="170">
        <v>3</v>
      </c>
      <c r="C11" s="171" t="s">
        <v>143</v>
      </c>
      <c r="D11" s="181" t="s">
        <v>143</v>
      </c>
      <c r="E11" s="172">
        <v>2</v>
      </c>
      <c r="F11" s="173" t="s">
        <v>140</v>
      </c>
      <c r="G11" s="173"/>
      <c r="H11" s="173"/>
      <c r="I11" s="176">
        <v>0</v>
      </c>
      <c r="J11" s="170">
        <v>0</v>
      </c>
      <c r="K11" s="180">
        <v>0</v>
      </c>
      <c r="L11" s="178" t="s">
        <v>141</v>
      </c>
    </row>
    <row r="12" spans="1:12" x14ac:dyDescent="0.3">
      <c r="B12" s="170">
        <v>4</v>
      </c>
      <c r="C12" s="171" t="s">
        <v>144</v>
      </c>
      <c r="D12" s="181" t="s">
        <v>144</v>
      </c>
      <c r="E12" s="172">
        <v>2</v>
      </c>
      <c r="F12" s="173" t="s">
        <v>140</v>
      </c>
      <c r="G12" s="173"/>
      <c r="H12" s="173"/>
      <c r="I12" s="176">
        <v>0</v>
      </c>
      <c r="J12" s="170">
        <v>0</v>
      </c>
      <c r="K12" s="180">
        <v>0</v>
      </c>
      <c r="L12" s="178" t="s">
        <v>141</v>
      </c>
    </row>
    <row r="13" spans="1:12" x14ac:dyDescent="0.3">
      <c r="B13" s="170">
        <v>5</v>
      </c>
      <c r="C13" s="171" t="s">
        <v>145</v>
      </c>
      <c r="D13" s="181" t="s">
        <v>145</v>
      </c>
      <c r="E13" s="172">
        <v>12</v>
      </c>
      <c r="F13" s="173" t="s">
        <v>140</v>
      </c>
      <c r="G13" s="173"/>
      <c r="H13" s="173"/>
      <c r="I13" s="183">
        <v>0</v>
      </c>
      <c r="J13" s="170">
        <v>0</v>
      </c>
      <c r="K13" s="180">
        <v>0</v>
      </c>
      <c r="L13" s="178" t="s">
        <v>141</v>
      </c>
    </row>
    <row r="14" spans="1:12" x14ac:dyDescent="0.3">
      <c r="B14" s="170">
        <v>6</v>
      </c>
      <c r="C14" s="171" t="s">
        <v>146</v>
      </c>
      <c r="D14" s="181" t="s">
        <v>146</v>
      </c>
      <c r="E14" s="172">
        <v>12</v>
      </c>
      <c r="F14" s="173" t="s">
        <v>140</v>
      </c>
      <c r="G14" s="173"/>
      <c r="H14" s="173"/>
      <c r="I14" s="183">
        <v>0</v>
      </c>
      <c r="J14" s="170">
        <v>0</v>
      </c>
      <c r="K14" s="180">
        <v>0</v>
      </c>
      <c r="L14" s="178" t="s">
        <v>141</v>
      </c>
    </row>
    <row r="15" spans="1:12" x14ac:dyDescent="0.3">
      <c r="A15" s="368"/>
      <c r="B15" s="369">
        <v>7</v>
      </c>
      <c r="C15" s="370" t="s">
        <v>147</v>
      </c>
      <c r="D15" s="370" t="s">
        <v>147</v>
      </c>
      <c r="E15" s="371">
        <v>36</v>
      </c>
      <c r="F15" s="372" t="s">
        <v>140</v>
      </c>
      <c r="G15" s="372">
        <v>108</v>
      </c>
      <c r="H15" s="372" t="s">
        <v>566</v>
      </c>
      <c r="I15" s="367">
        <f>121770*107%</f>
        <v>130293.90000000001</v>
      </c>
      <c r="J15" s="369">
        <v>12</v>
      </c>
      <c r="K15" s="373">
        <f t="shared" ref="K15:K56" si="0">(I15*G15)/J15</f>
        <v>1172645.1000000001</v>
      </c>
      <c r="L15" s="374" t="s">
        <v>574</v>
      </c>
    </row>
    <row r="16" spans="1:12" x14ac:dyDescent="0.3">
      <c r="B16" s="170">
        <v>8</v>
      </c>
      <c r="C16" s="171" t="s">
        <v>148</v>
      </c>
      <c r="D16" s="181" t="s">
        <v>148</v>
      </c>
      <c r="E16" s="172">
        <v>60</v>
      </c>
      <c r="F16" s="173" t="s">
        <v>140</v>
      </c>
      <c r="G16" s="173">
        <v>84</v>
      </c>
      <c r="H16" s="173" t="s">
        <v>567</v>
      </c>
      <c r="I16" s="183">
        <f>132000*107%</f>
        <v>141240</v>
      </c>
      <c r="J16" s="170">
        <v>12</v>
      </c>
      <c r="K16" s="174">
        <f>(I16*G16)/J16</f>
        <v>988680</v>
      </c>
      <c r="L16" s="178" t="s">
        <v>574</v>
      </c>
    </row>
    <row r="17" spans="1:12" x14ac:dyDescent="0.3">
      <c r="A17" s="368"/>
      <c r="B17" s="369">
        <v>9</v>
      </c>
      <c r="C17" s="370" t="s">
        <v>149</v>
      </c>
      <c r="D17" s="370" t="s">
        <v>149</v>
      </c>
      <c r="E17" s="371">
        <v>60</v>
      </c>
      <c r="F17" s="372" t="s">
        <v>140</v>
      </c>
      <c r="G17" s="372">
        <v>180</v>
      </c>
      <c r="H17" s="372" t="s">
        <v>567</v>
      </c>
      <c r="I17" s="367">
        <f>49500*107%</f>
        <v>52965</v>
      </c>
      <c r="J17" s="369">
        <v>12</v>
      </c>
      <c r="K17" s="373">
        <f t="shared" si="0"/>
        <v>794475</v>
      </c>
      <c r="L17" s="374" t="s">
        <v>574</v>
      </c>
    </row>
    <row r="18" spans="1:12" x14ac:dyDescent="0.3">
      <c r="A18" s="368"/>
      <c r="B18" s="369">
        <v>10</v>
      </c>
      <c r="C18" s="370" t="s">
        <v>150</v>
      </c>
      <c r="D18" s="370" t="s">
        <v>150</v>
      </c>
      <c r="E18" s="371">
        <v>12</v>
      </c>
      <c r="F18" s="372" t="s">
        <v>140</v>
      </c>
      <c r="G18" s="372">
        <v>24</v>
      </c>
      <c r="H18" s="372" t="s">
        <v>568</v>
      </c>
      <c r="I18" s="367">
        <f>924000*107%</f>
        <v>988680</v>
      </c>
      <c r="J18" s="369">
        <v>12</v>
      </c>
      <c r="K18" s="373">
        <f>(I18*G18)/J18</f>
        <v>1977360</v>
      </c>
      <c r="L18" s="374" t="s">
        <v>574</v>
      </c>
    </row>
    <row r="19" spans="1:12" x14ac:dyDescent="0.3">
      <c r="B19" s="170">
        <v>11</v>
      </c>
      <c r="C19" s="171" t="s">
        <v>151</v>
      </c>
      <c r="D19" s="171" t="s">
        <v>151</v>
      </c>
      <c r="E19" s="172">
        <v>12</v>
      </c>
      <c r="F19" s="173" t="s">
        <v>140</v>
      </c>
      <c r="G19" s="173">
        <v>24</v>
      </c>
      <c r="H19" s="173" t="s">
        <v>567</v>
      </c>
      <c r="I19" s="183">
        <f>92906*107%</f>
        <v>99409.420000000013</v>
      </c>
      <c r="J19" s="170">
        <v>12</v>
      </c>
      <c r="K19" s="174">
        <f t="shared" si="0"/>
        <v>198818.84</v>
      </c>
      <c r="L19" s="178" t="s">
        <v>574</v>
      </c>
    </row>
    <row r="20" spans="1:12" x14ac:dyDescent="0.3">
      <c r="A20" s="368"/>
      <c r="B20" s="369">
        <v>12</v>
      </c>
      <c r="C20" s="370" t="s">
        <v>152</v>
      </c>
      <c r="D20" s="370" t="s">
        <v>152</v>
      </c>
      <c r="E20" s="371">
        <v>36</v>
      </c>
      <c r="F20" s="372" t="s">
        <v>140</v>
      </c>
      <c r="G20" s="372">
        <v>24</v>
      </c>
      <c r="H20" s="372" t="s">
        <v>566</v>
      </c>
      <c r="I20" s="367">
        <f>246840*107%</f>
        <v>264118.8</v>
      </c>
      <c r="J20" s="369">
        <v>12</v>
      </c>
      <c r="K20" s="373">
        <f t="shared" si="0"/>
        <v>528237.6</v>
      </c>
      <c r="L20" s="374" t="s">
        <v>574</v>
      </c>
    </row>
    <row r="21" spans="1:12" x14ac:dyDescent="0.3">
      <c r="A21" s="368"/>
      <c r="B21" s="369">
        <v>13</v>
      </c>
      <c r="C21" s="370" t="s">
        <v>153</v>
      </c>
      <c r="D21" s="370" t="s">
        <v>153</v>
      </c>
      <c r="E21" s="371">
        <v>24</v>
      </c>
      <c r="F21" s="372" t="s">
        <v>140</v>
      </c>
      <c r="G21" s="372">
        <v>12</v>
      </c>
      <c r="H21" s="372" t="s">
        <v>566</v>
      </c>
      <c r="I21" s="367">
        <f>352990*107%</f>
        <v>377699.30000000005</v>
      </c>
      <c r="J21" s="369">
        <v>12</v>
      </c>
      <c r="K21" s="373">
        <f t="shared" si="0"/>
        <v>377699.30000000005</v>
      </c>
      <c r="L21" s="374" t="s">
        <v>574</v>
      </c>
    </row>
    <row r="22" spans="1:12" x14ac:dyDescent="0.3">
      <c r="A22" s="368"/>
      <c r="B22" s="369">
        <v>14</v>
      </c>
      <c r="C22" s="370" t="s">
        <v>154</v>
      </c>
      <c r="D22" s="370" t="s">
        <v>154</v>
      </c>
      <c r="E22" s="371">
        <v>36</v>
      </c>
      <c r="F22" s="372" t="s">
        <v>140</v>
      </c>
      <c r="G22" s="372">
        <v>144</v>
      </c>
      <c r="H22" s="372" t="s">
        <v>566</v>
      </c>
      <c r="I22" s="367">
        <f>170720*107%</f>
        <v>182670.40000000002</v>
      </c>
      <c r="J22" s="369">
        <v>12</v>
      </c>
      <c r="K22" s="373">
        <f t="shared" si="0"/>
        <v>2192044.8000000003</v>
      </c>
      <c r="L22" s="374" t="s">
        <v>574</v>
      </c>
    </row>
    <row r="23" spans="1:12" x14ac:dyDescent="0.3">
      <c r="B23" s="170">
        <v>15</v>
      </c>
      <c r="C23" s="171" t="s">
        <v>155</v>
      </c>
      <c r="D23" s="171" t="s">
        <v>155</v>
      </c>
      <c r="E23" s="172">
        <v>12</v>
      </c>
      <c r="F23" s="173" t="s">
        <v>140</v>
      </c>
      <c r="G23" s="173">
        <v>24</v>
      </c>
      <c r="H23" s="173" t="s">
        <v>567</v>
      </c>
      <c r="I23" s="183">
        <f>946000*107%</f>
        <v>1012220.0000000001</v>
      </c>
      <c r="J23" s="170">
        <v>12</v>
      </c>
      <c r="K23" s="174">
        <f t="shared" si="0"/>
        <v>2024440.0000000002</v>
      </c>
      <c r="L23" s="178" t="s">
        <v>574</v>
      </c>
    </row>
    <row r="24" spans="1:12" x14ac:dyDescent="0.3">
      <c r="A24" s="368"/>
      <c r="B24" s="369">
        <v>16</v>
      </c>
      <c r="C24" s="370" t="s">
        <v>158</v>
      </c>
      <c r="D24" s="370" t="s">
        <v>158</v>
      </c>
      <c r="E24" s="371">
        <v>24</v>
      </c>
      <c r="F24" s="372" t="s">
        <v>140</v>
      </c>
      <c r="G24" s="372">
        <v>240</v>
      </c>
      <c r="H24" s="372" t="s">
        <v>567</v>
      </c>
      <c r="I24" s="367">
        <f>44000*107%</f>
        <v>47080</v>
      </c>
      <c r="J24" s="369">
        <v>12</v>
      </c>
      <c r="K24" s="373">
        <f t="shared" si="0"/>
        <v>941600</v>
      </c>
      <c r="L24" s="374" t="s">
        <v>574</v>
      </c>
    </row>
    <row r="25" spans="1:12" x14ac:dyDescent="0.3">
      <c r="A25" s="368"/>
      <c r="B25" s="369">
        <v>17</v>
      </c>
      <c r="C25" s="370" t="s">
        <v>159</v>
      </c>
      <c r="D25" s="370" t="s">
        <v>579</v>
      </c>
      <c r="E25" s="371">
        <v>24</v>
      </c>
      <c r="F25" s="372" t="s">
        <v>140</v>
      </c>
      <c r="G25" s="372">
        <v>120</v>
      </c>
      <c r="H25" s="372" t="s">
        <v>567</v>
      </c>
      <c r="I25" s="367">
        <f>92700*107%</f>
        <v>99189</v>
      </c>
      <c r="J25" s="369">
        <v>12</v>
      </c>
      <c r="K25" s="373">
        <f t="shared" si="0"/>
        <v>991890</v>
      </c>
      <c r="L25" s="374" t="s">
        <v>574</v>
      </c>
    </row>
    <row r="26" spans="1:12" x14ac:dyDescent="0.3">
      <c r="A26" s="368"/>
      <c r="B26" s="369">
        <v>18</v>
      </c>
      <c r="C26" s="370" t="s">
        <v>160</v>
      </c>
      <c r="D26" s="370" t="s">
        <v>160</v>
      </c>
      <c r="E26" s="371">
        <v>24</v>
      </c>
      <c r="F26" s="372" t="s">
        <v>140</v>
      </c>
      <c r="G26" s="372">
        <v>96</v>
      </c>
      <c r="H26" s="372" t="s">
        <v>566</v>
      </c>
      <c r="I26" s="367">
        <f>340010*107%</f>
        <v>363810.7</v>
      </c>
      <c r="J26" s="369">
        <v>12</v>
      </c>
      <c r="K26" s="373">
        <f t="shared" si="0"/>
        <v>2910485.6</v>
      </c>
      <c r="L26" s="374" t="s">
        <v>574</v>
      </c>
    </row>
    <row r="27" spans="1:12" x14ac:dyDescent="0.3">
      <c r="A27" s="368"/>
      <c r="B27" s="369">
        <v>19</v>
      </c>
      <c r="C27" s="370" t="s">
        <v>161</v>
      </c>
      <c r="D27" s="370" t="s">
        <v>161</v>
      </c>
      <c r="E27" s="371">
        <v>60</v>
      </c>
      <c r="F27" s="372" t="s">
        <v>140</v>
      </c>
      <c r="G27" s="372">
        <v>300</v>
      </c>
      <c r="H27" s="372" t="s">
        <v>567</v>
      </c>
      <c r="I27" s="367">
        <f>37968.7*107%</f>
        <v>40626.508999999998</v>
      </c>
      <c r="J27" s="369">
        <v>12</v>
      </c>
      <c r="K27" s="373">
        <f t="shared" si="0"/>
        <v>1015662.725</v>
      </c>
      <c r="L27" s="374" t="s">
        <v>574</v>
      </c>
    </row>
    <row r="28" spans="1:12" x14ac:dyDescent="0.3">
      <c r="A28" s="368"/>
      <c r="B28" s="369">
        <v>20</v>
      </c>
      <c r="C28" s="370" t="s">
        <v>162</v>
      </c>
      <c r="D28" s="370" t="s">
        <v>162</v>
      </c>
      <c r="E28" s="371">
        <v>24</v>
      </c>
      <c r="F28" s="372" t="s">
        <v>140</v>
      </c>
      <c r="G28" s="372">
        <v>60</v>
      </c>
      <c r="H28" s="372" t="s">
        <v>566</v>
      </c>
      <c r="I28" s="367">
        <f>86881.3*107%</f>
        <v>92962.991000000009</v>
      </c>
      <c r="J28" s="369">
        <v>12</v>
      </c>
      <c r="K28" s="373">
        <f t="shared" si="0"/>
        <v>464814.95500000007</v>
      </c>
      <c r="L28" s="374" t="s">
        <v>574</v>
      </c>
    </row>
    <row r="29" spans="1:12" x14ac:dyDescent="0.3">
      <c r="B29" s="170">
        <v>21</v>
      </c>
      <c r="C29" s="171" t="s">
        <v>163</v>
      </c>
      <c r="D29" s="171" t="s">
        <v>163</v>
      </c>
      <c r="E29" s="172">
        <v>24</v>
      </c>
      <c r="F29" s="173" t="s">
        <v>140</v>
      </c>
      <c r="G29" s="173">
        <v>24</v>
      </c>
      <c r="H29" s="173" t="s">
        <v>569</v>
      </c>
      <c r="I29" s="183">
        <f>769560*107%</f>
        <v>823429.20000000007</v>
      </c>
      <c r="J29" s="170">
        <v>12</v>
      </c>
      <c r="K29" s="174">
        <f t="shared" si="0"/>
        <v>1646858.4000000001</v>
      </c>
      <c r="L29" s="178" t="s">
        <v>574</v>
      </c>
    </row>
    <row r="30" spans="1:12" x14ac:dyDescent="0.3">
      <c r="A30" s="368"/>
      <c r="B30" s="369">
        <v>22</v>
      </c>
      <c r="C30" s="370" t="s">
        <v>164</v>
      </c>
      <c r="D30" s="370" t="s">
        <v>164</v>
      </c>
      <c r="E30" s="371">
        <v>24</v>
      </c>
      <c r="F30" s="372" t="s">
        <v>140</v>
      </c>
      <c r="G30" s="372">
        <v>240</v>
      </c>
      <c r="H30" s="372" t="s">
        <v>566</v>
      </c>
      <c r="I30" s="367">
        <f>137500*107%</f>
        <v>147125</v>
      </c>
      <c r="J30" s="369">
        <v>12</v>
      </c>
      <c r="K30" s="373">
        <f t="shared" si="0"/>
        <v>2942500</v>
      </c>
      <c r="L30" s="374" t="s">
        <v>574</v>
      </c>
    </row>
    <row r="31" spans="1:12" x14ac:dyDescent="0.3">
      <c r="B31" s="170">
        <v>23</v>
      </c>
      <c r="C31" s="171" t="s">
        <v>166</v>
      </c>
      <c r="D31" s="171" t="s">
        <v>166</v>
      </c>
      <c r="E31" s="172">
        <v>24</v>
      </c>
      <c r="F31" s="173" t="s">
        <v>140</v>
      </c>
      <c r="G31" s="173">
        <v>12</v>
      </c>
      <c r="H31" s="173" t="s">
        <v>567</v>
      </c>
      <c r="I31" s="183">
        <f>22000*107%</f>
        <v>23540</v>
      </c>
      <c r="J31" s="170">
        <v>12</v>
      </c>
      <c r="K31" s="174">
        <f t="shared" si="0"/>
        <v>23540</v>
      </c>
      <c r="L31" s="178" t="s">
        <v>574</v>
      </c>
    </row>
    <row r="32" spans="1:12" x14ac:dyDescent="0.3">
      <c r="B32" s="170">
        <v>24</v>
      </c>
      <c r="C32" s="171" t="s">
        <v>167</v>
      </c>
      <c r="D32" s="171" t="s">
        <v>167</v>
      </c>
      <c r="E32" s="172">
        <v>348</v>
      </c>
      <c r="F32" s="173" t="s">
        <v>140</v>
      </c>
      <c r="G32" s="173">
        <v>4200</v>
      </c>
      <c r="H32" s="173" t="s">
        <v>567</v>
      </c>
      <c r="I32" s="183">
        <f>9000*107%</f>
        <v>9630</v>
      </c>
      <c r="J32" s="170">
        <v>12</v>
      </c>
      <c r="K32" s="174">
        <f t="shared" si="0"/>
        <v>3370500</v>
      </c>
      <c r="L32" s="178" t="s">
        <v>574</v>
      </c>
    </row>
    <row r="33" spans="1:12" x14ac:dyDescent="0.3">
      <c r="A33" s="368"/>
      <c r="B33" s="369">
        <v>25</v>
      </c>
      <c r="C33" s="370" t="s">
        <v>168</v>
      </c>
      <c r="D33" s="370" t="s">
        <v>580</v>
      </c>
      <c r="E33" s="371">
        <v>24</v>
      </c>
      <c r="F33" s="372" t="s">
        <v>140</v>
      </c>
      <c r="G33" s="372">
        <v>60</v>
      </c>
      <c r="H33" s="372" t="s">
        <v>570</v>
      </c>
      <c r="I33" s="367">
        <f>296000*107%</f>
        <v>316720</v>
      </c>
      <c r="J33" s="369">
        <v>12</v>
      </c>
      <c r="K33" s="373">
        <f t="shared" si="0"/>
        <v>1583600</v>
      </c>
      <c r="L33" s="374" t="s">
        <v>574</v>
      </c>
    </row>
    <row r="34" spans="1:12" x14ac:dyDescent="0.3">
      <c r="B34" s="170">
        <v>26</v>
      </c>
      <c r="C34" s="171" t="s">
        <v>169</v>
      </c>
      <c r="D34" s="171" t="s">
        <v>169</v>
      </c>
      <c r="E34" s="172">
        <v>120</v>
      </c>
      <c r="F34" s="173" t="s">
        <v>140</v>
      </c>
      <c r="G34" s="173">
        <v>240</v>
      </c>
      <c r="H34" s="173" t="s">
        <v>566</v>
      </c>
      <c r="I34" s="183">
        <f>92000*107%</f>
        <v>98440</v>
      </c>
      <c r="J34" s="170">
        <v>12</v>
      </c>
      <c r="K34" s="174">
        <f t="shared" si="0"/>
        <v>1968800</v>
      </c>
      <c r="L34" s="178" t="s">
        <v>574</v>
      </c>
    </row>
    <row r="35" spans="1:12" x14ac:dyDescent="0.3">
      <c r="A35" s="368"/>
      <c r="B35" s="369">
        <v>27</v>
      </c>
      <c r="C35" s="370" t="s">
        <v>170</v>
      </c>
      <c r="D35" s="370" t="s">
        <v>170</v>
      </c>
      <c r="E35" s="371">
        <v>156</v>
      </c>
      <c r="F35" s="372" t="s">
        <v>140</v>
      </c>
      <c r="G35" s="372">
        <v>240</v>
      </c>
      <c r="H35" s="372" t="s">
        <v>571</v>
      </c>
      <c r="I35" s="367">
        <f>28500*107%</f>
        <v>30495</v>
      </c>
      <c r="J35" s="369">
        <v>12</v>
      </c>
      <c r="K35" s="373">
        <f t="shared" si="0"/>
        <v>609900</v>
      </c>
      <c r="L35" s="374" t="s">
        <v>574</v>
      </c>
    </row>
    <row r="36" spans="1:12" x14ac:dyDescent="0.3">
      <c r="B36" s="170">
        <v>28</v>
      </c>
      <c r="C36" s="171" t="s">
        <v>171</v>
      </c>
      <c r="D36" s="171" t="s">
        <v>171</v>
      </c>
      <c r="E36" s="172">
        <v>60</v>
      </c>
      <c r="F36" s="173" t="s">
        <v>140</v>
      </c>
      <c r="G36" s="173">
        <v>360</v>
      </c>
      <c r="H36" s="173" t="s">
        <v>567</v>
      </c>
      <c r="I36" s="183">
        <f>38000*107%</f>
        <v>40660</v>
      </c>
      <c r="J36" s="170">
        <v>12</v>
      </c>
      <c r="K36" s="174">
        <f t="shared" si="0"/>
        <v>1219800</v>
      </c>
      <c r="L36" s="178" t="s">
        <v>574</v>
      </c>
    </row>
    <row r="37" spans="1:12" x14ac:dyDescent="0.3">
      <c r="B37" s="170">
        <v>29</v>
      </c>
      <c r="C37" s="171" t="s">
        <v>172</v>
      </c>
      <c r="D37" s="171" t="s">
        <v>172</v>
      </c>
      <c r="E37" s="172">
        <v>36</v>
      </c>
      <c r="F37" s="173" t="s">
        <v>140</v>
      </c>
      <c r="G37" s="173">
        <v>36</v>
      </c>
      <c r="H37" s="173" t="s">
        <v>567</v>
      </c>
      <c r="I37" s="183">
        <f>9450*107%</f>
        <v>10111.5</v>
      </c>
      <c r="J37" s="170">
        <v>12</v>
      </c>
      <c r="K37" s="174">
        <f t="shared" si="0"/>
        <v>30334.5</v>
      </c>
      <c r="L37" s="178" t="s">
        <v>574</v>
      </c>
    </row>
    <row r="38" spans="1:12" x14ac:dyDescent="0.3">
      <c r="B38" s="170">
        <v>30</v>
      </c>
      <c r="C38" s="171" t="s">
        <v>173</v>
      </c>
      <c r="D38" s="171" t="s">
        <v>173</v>
      </c>
      <c r="E38" s="172">
        <v>36</v>
      </c>
      <c r="F38" s="173" t="s">
        <v>140</v>
      </c>
      <c r="G38" s="173">
        <v>36</v>
      </c>
      <c r="H38" s="173" t="s">
        <v>567</v>
      </c>
      <c r="I38" s="183">
        <f>16600*107%</f>
        <v>17762</v>
      </c>
      <c r="J38" s="170">
        <v>12</v>
      </c>
      <c r="K38" s="174">
        <f t="shared" si="0"/>
        <v>53286</v>
      </c>
      <c r="L38" s="178" t="s">
        <v>574</v>
      </c>
    </row>
    <row r="39" spans="1:12" x14ac:dyDescent="0.3">
      <c r="B39" s="170">
        <v>31</v>
      </c>
      <c r="C39" s="171" t="s">
        <v>175</v>
      </c>
      <c r="D39" s="171" t="s">
        <v>175</v>
      </c>
      <c r="E39" s="172">
        <v>72</v>
      </c>
      <c r="F39" s="173" t="s">
        <v>140</v>
      </c>
      <c r="G39" s="173">
        <v>120</v>
      </c>
      <c r="H39" s="173" t="s">
        <v>567</v>
      </c>
      <c r="I39" s="183">
        <f>23000*107%</f>
        <v>24610</v>
      </c>
      <c r="J39" s="170">
        <v>12</v>
      </c>
      <c r="K39" s="174">
        <f t="shared" si="0"/>
        <v>246100</v>
      </c>
      <c r="L39" s="178" t="s">
        <v>574</v>
      </c>
    </row>
    <row r="40" spans="1:12" x14ac:dyDescent="0.3">
      <c r="B40" s="170">
        <v>32</v>
      </c>
      <c r="C40" s="171" t="s">
        <v>176</v>
      </c>
      <c r="D40" s="171" t="s">
        <v>176</v>
      </c>
      <c r="E40" s="172">
        <v>36</v>
      </c>
      <c r="F40" s="173" t="s">
        <v>140</v>
      </c>
      <c r="G40" s="173">
        <v>24</v>
      </c>
      <c r="H40" s="173" t="s">
        <v>567</v>
      </c>
      <c r="I40" s="183">
        <f>55000*107%</f>
        <v>58850</v>
      </c>
      <c r="J40" s="170">
        <v>12</v>
      </c>
      <c r="K40" s="174">
        <f t="shared" si="0"/>
        <v>117700</v>
      </c>
      <c r="L40" s="178" t="s">
        <v>574</v>
      </c>
    </row>
    <row r="41" spans="1:12" x14ac:dyDescent="0.3">
      <c r="B41" s="170">
        <v>33</v>
      </c>
      <c r="C41" s="171" t="s">
        <v>178</v>
      </c>
      <c r="D41" s="171" t="s">
        <v>178</v>
      </c>
      <c r="E41" s="172">
        <v>36</v>
      </c>
      <c r="F41" s="173" t="s">
        <v>140</v>
      </c>
      <c r="G41" s="173">
        <v>72</v>
      </c>
      <c r="H41" s="173" t="s">
        <v>567</v>
      </c>
      <c r="I41" s="183">
        <f>12500*107%</f>
        <v>13375</v>
      </c>
      <c r="J41" s="170">
        <v>12</v>
      </c>
      <c r="K41" s="174">
        <f t="shared" si="0"/>
        <v>80250</v>
      </c>
      <c r="L41" s="178" t="s">
        <v>574</v>
      </c>
    </row>
    <row r="42" spans="1:12" x14ac:dyDescent="0.3">
      <c r="B42" s="170">
        <v>34</v>
      </c>
      <c r="C42" s="171" t="s">
        <v>179</v>
      </c>
      <c r="D42" s="171" t="s">
        <v>179</v>
      </c>
      <c r="E42" s="172">
        <v>36</v>
      </c>
      <c r="F42" s="173" t="s">
        <v>140</v>
      </c>
      <c r="G42" s="173">
        <v>120</v>
      </c>
      <c r="H42" s="173" t="s">
        <v>567</v>
      </c>
      <c r="I42" s="183">
        <f>19900*107%</f>
        <v>21293</v>
      </c>
      <c r="J42" s="170">
        <v>12</v>
      </c>
      <c r="K42" s="174">
        <f t="shared" si="0"/>
        <v>212930</v>
      </c>
      <c r="L42" s="178" t="s">
        <v>574</v>
      </c>
    </row>
    <row r="43" spans="1:12" x14ac:dyDescent="0.3">
      <c r="A43" s="368"/>
      <c r="B43" s="369">
        <v>35</v>
      </c>
      <c r="C43" s="370" t="s">
        <v>181</v>
      </c>
      <c r="D43" s="370" t="s">
        <v>181</v>
      </c>
      <c r="E43" s="371">
        <v>96</v>
      </c>
      <c r="F43" s="372" t="s">
        <v>140</v>
      </c>
      <c r="G43" s="372">
        <v>600</v>
      </c>
      <c r="H43" s="372" t="s">
        <v>567</v>
      </c>
      <c r="I43" s="367">
        <f>26013.9*107%</f>
        <v>27834.873000000003</v>
      </c>
      <c r="J43" s="369">
        <v>12</v>
      </c>
      <c r="K43" s="373">
        <f t="shared" si="0"/>
        <v>1391743.6500000001</v>
      </c>
      <c r="L43" s="374" t="s">
        <v>574</v>
      </c>
    </row>
    <row r="44" spans="1:12" x14ac:dyDescent="0.3">
      <c r="B44" s="170">
        <v>36</v>
      </c>
      <c r="C44" s="171" t="s">
        <v>183</v>
      </c>
      <c r="D44" s="171" t="s">
        <v>183</v>
      </c>
      <c r="E44" s="172">
        <v>96</v>
      </c>
      <c r="F44" s="173" t="s">
        <v>140</v>
      </c>
      <c r="G44" s="173">
        <v>240</v>
      </c>
      <c r="H44" s="173" t="s">
        <v>567</v>
      </c>
      <c r="I44" s="183">
        <f>26013.9*107%</f>
        <v>27834.873000000003</v>
      </c>
      <c r="J44" s="170">
        <v>12</v>
      </c>
      <c r="K44" s="174">
        <f t="shared" si="0"/>
        <v>556697.46000000008</v>
      </c>
      <c r="L44" s="178" t="s">
        <v>574</v>
      </c>
    </row>
    <row r="45" spans="1:12" x14ac:dyDescent="0.3">
      <c r="B45" s="170">
        <v>37</v>
      </c>
      <c r="C45" s="171" t="s">
        <v>184</v>
      </c>
      <c r="D45" s="171" t="s">
        <v>184</v>
      </c>
      <c r="E45" s="172">
        <v>36</v>
      </c>
      <c r="F45" s="173" t="s">
        <v>140</v>
      </c>
      <c r="G45" s="173">
        <v>360</v>
      </c>
      <c r="H45" s="173" t="s">
        <v>567</v>
      </c>
      <c r="I45" s="183">
        <f>26013.9*107%</f>
        <v>27834.873000000003</v>
      </c>
      <c r="J45" s="170">
        <v>12</v>
      </c>
      <c r="K45" s="174">
        <f t="shared" si="0"/>
        <v>835046.19000000006</v>
      </c>
      <c r="L45" s="178" t="s">
        <v>574</v>
      </c>
    </row>
    <row r="46" spans="1:12" x14ac:dyDescent="0.3">
      <c r="B46" s="170">
        <v>38</v>
      </c>
      <c r="C46" s="171" t="s">
        <v>186</v>
      </c>
      <c r="D46" s="171" t="s">
        <v>186</v>
      </c>
      <c r="E46" s="172">
        <v>60</v>
      </c>
      <c r="F46" s="173" t="s">
        <v>140</v>
      </c>
      <c r="G46" s="173">
        <v>180</v>
      </c>
      <c r="H46" s="173" t="s">
        <v>567</v>
      </c>
      <c r="I46" s="183">
        <f>83200*107%</f>
        <v>89024</v>
      </c>
      <c r="J46" s="170">
        <v>12</v>
      </c>
      <c r="K46" s="174">
        <f t="shared" si="0"/>
        <v>1335360</v>
      </c>
      <c r="L46" s="178" t="s">
        <v>574</v>
      </c>
    </row>
    <row r="47" spans="1:12" x14ac:dyDescent="0.3">
      <c r="B47" s="170">
        <v>39</v>
      </c>
      <c r="C47" s="171" t="s">
        <v>187</v>
      </c>
      <c r="D47" s="171" t="s">
        <v>187</v>
      </c>
      <c r="E47" s="172">
        <v>36</v>
      </c>
      <c r="F47" s="173" t="s">
        <v>140</v>
      </c>
      <c r="G47" s="173">
        <v>120</v>
      </c>
      <c r="H47" s="173" t="s">
        <v>567</v>
      </c>
      <c r="I47" s="183">
        <v>76235</v>
      </c>
      <c r="J47" s="170">
        <v>12</v>
      </c>
      <c r="K47" s="174">
        <f t="shared" si="0"/>
        <v>762350</v>
      </c>
      <c r="L47" s="178" t="s">
        <v>574</v>
      </c>
    </row>
    <row r="48" spans="1:12" x14ac:dyDescent="0.3">
      <c r="A48" s="368"/>
      <c r="B48" s="369">
        <v>40</v>
      </c>
      <c r="C48" s="370" t="s">
        <v>188</v>
      </c>
      <c r="D48" s="370" t="s">
        <v>188</v>
      </c>
      <c r="E48" s="371">
        <v>48</v>
      </c>
      <c r="F48" s="372" t="s">
        <v>140</v>
      </c>
      <c r="G48" s="372">
        <v>36</v>
      </c>
      <c r="H48" s="372" t="s">
        <v>568</v>
      </c>
      <c r="I48" s="367">
        <f>162500*107%</f>
        <v>173875</v>
      </c>
      <c r="J48" s="369">
        <v>12</v>
      </c>
      <c r="K48" s="373">
        <f t="shared" si="0"/>
        <v>521625</v>
      </c>
      <c r="L48" s="374" t="s">
        <v>574</v>
      </c>
    </row>
    <row r="49" spans="1:12" x14ac:dyDescent="0.3">
      <c r="A49" s="368"/>
      <c r="B49" s="369">
        <v>41</v>
      </c>
      <c r="C49" s="370" t="s">
        <v>189</v>
      </c>
      <c r="D49" s="370" t="s">
        <v>189</v>
      </c>
      <c r="E49" s="371">
        <v>24</v>
      </c>
      <c r="F49" s="372" t="s">
        <v>140</v>
      </c>
      <c r="G49" s="372">
        <v>24</v>
      </c>
      <c r="H49" s="372" t="s">
        <v>568</v>
      </c>
      <c r="I49" s="367">
        <f>180271*107%</f>
        <v>192889.97</v>
      </c>
      <c r="J49" s="369">
        <v>12</v>
      </c>
      <c r="K49" s="373">
        <f t="shared" si="0"/>
        <v>385779.94</v>
      </c>
      <c r="L49" s="374" t="s">
        <v>574</v>
      </c>
    </row>
    <row r="50" spans="1:12" x14ac:dyDescent="0.3">
      <c r="A50" s="368"/>
      <c r="B50" s="369">
        <v>42</v>
      </c>
      <c r="C50" s="370" t="s">
        <v>190</v>
      </c>
      <c r="D50" s="370" t="s">
        <v>190</v>
      </c>
      <c r="E50" s="371">
        <v>168</v>
      </c>
      <c r="F50" s="372" t="s">
        <v>140</v>
      </c>
      <c r="G50" s="372">
        <v>420</v>
      </c>
      <c r="H50" s="372" t="s">
        <v>568</v>
      </c>
      <c r="I50" s="367">
        <f>226700*107%</f>
        <v>242569</v>
      </c>
      <c r="J50" s="369">
        <v>12</v>
      </c>
      <c r="K50" s="373">
        <f t="shared" si="0"/>
        <v>8489915</v>
      </c>
      <c r="L50" s="374" t="s">
        <v>574</v>
      </c>
    </row>
    <row r="51" spans="1:12" x14ac:dyDescent="0.3">
      <c r="B51" s="170">
        <v>43</v>
      </c>
      <c r="C51" s="171" t="s">
        <v>193</v>
      </c>
      <c r="D51" s="171" t="s">
        <v>193</v>
      </c>
      <c r="E51" s="172">
        <v>48</v>
      </c>
      <c r="F51" s="173" t="s">
        <v>140</v>
      </c>
      <c r="G51" s="173">
        <v>240</v>
      </c>
      <c r="H51" s="173" t="s">
        <v>567</v>
      </c>
      <c r="I51" s="183">
        <f>46487.2*107%</f>
        <v>49741.303999999996</v>
      </c>
      <c r="J51" s="170">
        <v>12</v>
      </c>
      <c r="K51" s="174">
        <f t="shared" si="0"/>
        <v>994826.08</v>
      </c>
      <c r="L51" s="178" t="s">
        <v>574</v>
      </c>
    </row>
    <row r="52" spans="1:12" x14ac:dyDescent="0.3">
      <c r="B52" s="170">
        <v>44</v>
      </c>
      <c r="C52" s="171" t="s">
        <v>195</v>
      </c>
      <c r="D52" s="171" t="s">
        <v>195</v>
      </c>
      <c r="E52" s="172">
        <v>60</v>
      </c>
      <c r="F52" s="173" t="s">
        <v>140</v>
      </c>
      <c r="G52" s="173">
        <v>360</v>
      </c>
      <c r="H52" s="173" t="s">
        <v>567</v>
      </c>
      <c r="I52" s="183">
        <f>61922.4*107%</f>
        <v>66256.968000000008</v>
      </c>
      <c r="J52" s="170">
        <v>12</v>
      </c>
      <c r="K52" s="174">
        <f t="shared" si="0"/>
        <v>1987709.0400000003</v>
      </c>
      <c r="L52" s="178" t="s">
        <v>574</v>
      </c>
    </row>
    <row r="53" spans="1:12" x14ac:dyDescent="0.3">
      <c r="A53" s="368"/>
      <c r="B53" s="369">
        <v>45</v>
      </c>
      <c r="C53" s="370" t="s">
        <v>196</v>
      </c>
      <c r="D53" s="370" t="s">
        <v>196</v>
      </c>
      <c r="E53" s="371">
        <v>24</v>
      </c>
      <c r="F53" s="372" t="s">
        <v>140</v>
      </c>
      <c r="G53" s="372">
        <v>60</v>
      </c>
      <c r="H53" s="372" t="s">
        <v>568</v>
      </c>
      <c r="I53" s="367">
        <f>117749.2*107%</f>
        <v>125991.644</v>
      </c>
      <c r="J53" s="369">
        <v>12</v>
      </c>
      <c r="K53" s="373">
        <f t="shared" si="0"/>
        <v>629958.22</v>
      </c>
      <c r="L53" s="374" t="s">
        <v>574</v>
      </c>
    </row>
    <row r="54" spans="1:12" x14ac:dyDescent="0.3">
      <c r="B54" s="170">
        <v>46</v>
      </c>
      <c r="C54" s="171" t="s">
        <v>197</v>
      </c>
      <c r="D54" s="171" t="s">
        <v>197</v>
      </c>
      <c r="E54" s="172">
        <v>48</v>
      </c>
      <c r="F54" s="173" t="s">
        <v>140</v>
      </c>
      <c r="G54" s="173">
        <v>120</v>
      </c>
      <c r="H54" s="173" t="s">
        <v>566</v>
      </c>
      <c r="I54" s="183">
        <f>151200*107%</f>
        <v>161784</v>
      </c>
      <c r="J54" s="170">
        <v>12</v>
      </c>
      <c r="K54" s="174">
        <f t="shared" si="0"/>
        <v>1617840</v>
      </c>
      <c r="L54" s="178" t="s">
        <v>574</v>
      </c>
    </row>
    <row r="55" spans="1:12" x14ac:dyDescent="0.3">
      <c r="B55" s="170">
        <v>47</v>
      </c>
      <c r="C55" s="171" t="s">
        <v>198</v>
      </c>
      <c r="D55" s="181" t="s">
        <v>198</v>
      </c>
      <c r="E55" s="172">
        <v>48</v>
      </c>
      <c r="F55" s="173" t="s">
        <v>140</v>
      </c>
      <c r="G55" s="173">
        <v>180</v>
      </c>
      <c r="H55" s="173" t="s">
        <v>566</v>
      </c>
      <c r="I55" s="183">
        <f>145440*107%</f>
        <v>155620.80000000002</v>
      </c>
      <c r="J55" s="170">
        <v>12</v>
      </c>
      <c r="K55" s="174">
        <f t="shared" si="0"/>
        <v>2334312.0000000005</v>
      </c>
      <c r="L55" s="178" t="s">
        <v>574</v>
      </c>
    </row>
    <row r="56" spans="1:12" x14ac:dyDescent="0.3">
      <c r="A56" s="368"/>
      <c r="B56" s="369">
        <v>48</v>
      </c>
      <c r="C56" s="370" t="s">
        <v>199</v>
      </c>
      <c r="D56" s="370" t="s">
        <v>199</v>
      </c>
      <c r="E56" s="371">
        <v>36</v>
      </c>
      <c r="F56" s="372" t="s">
        <v>140</v>
      </c>
      <c r="G56" s="372">
        <v>240</v>
      </c>
      <c r="H56" s="372" t="s">
        <v>567</v>
      </c>
      <c r="I56" s="367">
        <f>37400*107%</f>
        <v>40018</v>
      </c>
      <c r="J56" s="369">
        <v>12</v>
      </c>
      <c r="K56" s="373">
        <f t="shared" si="0"/>
        <v>800360</v>
      </c>
      <c r="L56" s="374" t="s">
        <v>574</v>
      </c>
    </row>
    <row r="57" spans="1:12" x14ac:dyDescent="0.3">
      <c r="B57" s="170">
        <v>49</v>
      </c>
      <c r="C57" s="181" t="s">
        <v>200</v>
      </c>
      <c r="D57" s="181" t="s">
        <v>200</v>
      </c>
      <c r="E57" s="172">
        <v>60</v>
      </c>
      <c r="F57" s="173" t="s">
        <v>140</v>
      </c>
      <c r="G57" s="173"/>
      <c r="H57" s="173"/>
      <c r="I57" s="183">
        <v>0</v>
      </c>
      <c r="J57" s="170">
        <v>0</v>
      </c>
      <c r="K57" s="174">
        <v>0</v>
      </c>
      <c r="L57" s="178" t="s">
        <v>141</v>
      </c>
    </row>
    <row r="58" spans="1:12" x14ac:dyDescent="0.3">
      <c r="B58" s="170">
        <v>50</v>
      </c>
      <c r="C58" s="181" t="s">
        <v>201</v>
      </c>
      <c r="D58" s="181" t="s">
        <v>201</v>
      </c>
      <c r="E58" s="172">
        <v>60</v>
      </c>
      <c r="F58" s="173" t="s">
        <v>140</v>
      </c>
      <c r="G58" s="173"/>
      <c r="H58" s="173"/>
      <c r="I58" s="183">
        <v>0</v>
      </c>
      <c r="J58" s="170">
        <v>0</v>
      </c>
      <c r="K58" s="174">
        <v>0</v>
      </c>
      <c r="L58" s="178" t="s">
        <v>141</v>
      </c>
    </row>
    <row r="59" spans="1:12" x14ac:dyDescent="0.3">
      <c r="B59" s="170">
        <v>51</v>
      </c>
      <c r="C59" s="181" t="s">
        <v>202</v>
      </c>
      <c r="D59" s="181" t="s">
        <v>202</v>
      </c>
      <c r="E59" s="172">
        <v>60</v>
      </c>
      <c r="F59" s="173" t="s">
        <v>140</v>
      </c>
      <c r="G59" s="173"/>
      <c r="H59" s="173"/>
      <c r="I59" s="183">
        <v>0</v>
      </c>
      <c r="J59" s="170">
        <v>0</v>
      </c>
      <c r="K59" s="174">
        <v>0</v>
      </c>
      <c r="L59" s="178" t="s">
        <v>141</v>
      </c>
    </row>
    <row r="60" spans="1:12" x14ac:dyDescent="0.3">
      <c r="A60" s="368"/>
      <c r="B60" s="369">
        <v>52</v>
      </c>
      <c r="C60" s="370" t="s">
        <v>203</v>
      </c>
      <c r="D60" s="370" t="s">
        <v>203</v>
      </c>
      <c r="E60" s="371">
        <v>24</v>
      </c>
      <c r="F60" s="372" t="s">
        <v>140</v>
      </c>
      <c r="G60" s="372">
        <v>84</v>
      </c>
      <c r="H60" s="372" t="s">
        <v>567</v>
      </c>
      <c r="I60" s="367">
        <f>138520*107%</f>
        <v>148216.4</v>
      </c>
      <c r="J60" s="369">
        <v>12</v>
      </c>
      <c r="K60" s="373">
        <f t="shared" ref="K60:K91" si="1">(I60*G60)/J60</f>
        <v>1037514.7999999999</v>
      </c>
      <c r="L60" s="374" t="s">
        <v>574</v>
      </c>
    </row>
    <row r="61" spans="1:12" x14ac:dyDescent="0.3">
      <c r="A61" s="368"/>
      <c r="B61" s="369">
        <v>53</v>
      </c>
      <c r="C61" s="370" t="s">
        <v>205</v>
      </c>
      <c r="D61" s="370" t="s">
        <v>205</v>
      </c>
      <c r="E61" s="371">
        <v>96</v>
      </c>
      <c r="F61" s="372" t="s">
        <v>140</v>
      </c>
      <c r="G61" s="372">
        <v>480</v>
      </c>
      <c r="H61" s="372" t="s">
        <v>567</v>
      </c>
      <c r="I61" s="367">
        <f>138520*107%</f>
        <v>148216.4</v>
      </c>
      <c r="J61" s="369">
        <v>12</v>
      </c>
      <c r="K61" s="373">
        <f t="shared" si="1"/>
        <v>5928656</v>
      </c>
      <c r="L61" s="374" t="s">
        <v>574</v>
      </c>
    </row>
    <row r="62" spans="1:12" x14ac:dyDescent="0.3">
      <c r="A62" s="368"/>
      <c r="B62" s="369">
        <v>54</v>
      </c>
      <c r="C62" s="370" t="s">
        <v>206</v>
      </c>
      <c r="D62" s="370" t="s">
        <v>206</v>
      </c>
      <c r="E62" s="371">
        <v>36</v>
      </c>
      <c r="F62" s="372" t="s">
        <v>140</v>
      </c>
      <c r="G62" s="372">
        <v>12</v>
      </c>
      <c r="H62" s="372" t="s">
        <v>567</v>
      </c>
      <c r="I62" s="367">
        <f>138520*107%</f>
        <v>148216.4</v>
      </c>
      <c r="J62" s="369">
        <v>12</v>
      </c>
      <c r="K62" s="373">
        <f t="shared" si="1"/>
        <v>148216.4</v>
      </c>
      <c r="L62" s="374" t="s">
        <v>574</v>
      </c>
    </row>
    <row r="63" spans="1:12" x14ac:dyDescent="0.3">
      <c r="A63" s="368"/>
      <c r="B63" s="369">
        <v>55</v>
      </c>
      <c r="C63" s="370" t="s">
        <v>207</v>
      </c>
      <c r="D63" s="370" t="s">
        <v>207</v>
      </c>
      <c r="E63" s="371">
        <v>72</v>
      </c>
      <c r="F63" s="372" t="s">
        <v>140</v>
      </c>
      <c r="G63" s="372">
        <v>360</v>
      </c>
      <c r="H63" s="372" t="s">
        <v>567</v>
      </c>
      <c r="I63" s="367">
        <f>138520*107%</f>
        <v>148216.4</v>
      </c>
      <c r="J63" s="369">
        <v>12</v>
      </c>
      <c r="K63" s="373">
        <f t="shared" si="1"/>
        <v>4446492</v>
      </c>
      <c r="L63" s="374" t="s">
        <v>574</v>
      </c>
    </row>
    <row r="64" spans="1:12" x14ac:dyDescent="0.3">
      <c r="A64" s="368"/>
      <c r="B64" s="369">
        <v>56</v>
      </c>
      <c r="C64" s="370" t="s">
        <v>209</v>
      </c>
      <c r="D64" s="370" t="s">
        <v>209</v>
      </c>
      <c r="E64" s="371">
        <v>84</v>
      </c>
      <c r="F64" s="372" t="s">
        <v>140</v>
      </c>
      <c r="G64" s="372">
        <v>300</v>
      </c>
      <c r="H64" s="372" t="s">
        <v>566</v>
      </c>
      <c r="I64" s="367">
        <f>66720*107%</f>
        <v>71390.400000000009</v>
      </c>
      <c r="J64" s="369">
        <v>12</v>
      </c>
      <c r="K64" s="373">
        <f t="shared" si="1"/>
        <v>1784760.0000000002</v>
      </c>
      <c r="L64" s="374" t="s">
        <v>574</v>
      </c>
    </row>
    <row r="65" spans="1:12" x14ac:dyDescent="0.3">
      <c r="A65" s="368"/>
      <c r="B65" s="369">
        <v>57</v>
      </c>
      <c r="C65" s="370" t="s">
        <v>210</v>
      </c>
      <c r="D65" s="370" t="s">
        <v>210</v>
      </c>
      <c r="E65" s="371">
        <v>84</v>
      </c>
      <c r="F65" s="372" t="s">
        <v>140</v>
      </c>
      <c r="G65" s="372">
        <v>120</v>
      </c>
      <c r="H65" s="372" t="s">
        <v>569</v>
      </c>
      <c r="I65" s="367">
        <f>32500*107%</f>
        <v>34775</v>
      </c>
      <c r="J65" s="369">
        <v>12</v>
      </c>
      <c r="K65" s="373">
        <f t="shared" si="1"/>
        <v>347750</v>
      </c>
      <c r="L65" s="374" t="s">
        <v>574</v>
      </c>
    </row>
    <row r="66" spans="1:12" x14ac:dyDescent="0.3">
      <c r="B66" s="170">
        <v>58</v>
      </c>
      <c r="C66" s="171" t="s">
        <v>211</v>
      </c>
      <c r="D66" s="171" t="s">
        <v>211</v>
      </c>
      <c r="E66" s="172">
        <v>84</v>
      </c>
      <c r="F66" s="173" t="s">
        <v>140</v>
      </c>
      <c r="G66" s="173">
        <v>300</v>
      </c>
      <c r="H66" s="173" t="s">
        <v>566</v>
      </c>
      <c r="I66" s="183">
        <f>88700*107%</f>
        <v>94909</v>
      </c>
      <c r="J66" s="170">
        <v>12</v>
      </c>
      <c r="K66" s="174">
        <f t="shared" si="1"/>
        <v>2372725</v>
      </c>
      <c r="L66" s="178" t="s">
        <v>574</v>
      </c>
    </row>
    <row r="67" spans="1:12" x14ac:dyDescent="0.3">
      <c r="B67" s="170">
        <v>59</v>
      </c>
      <c r="C67" s="171" t="s">
        <v>214</v>
      </c>
      <c r="D67" s="171" t="s">
        <v>214</v>
      </c>
      <c r="E67" s="172">
        <v>72</v>
      </c>
      <c r="F67" s="173" t="s">
        <v>140</v>
      </c>
      <c r="G67" s="173">
        <v>360</v>
      </c>
      <c r="H67" s="173" t="s">
        <v>566</v>
      </c>
      <c r="I67" s="183">
        <f>122800*107%</f>
        <v>131396</v>
      </c>
      <c r="J67" s="170">
        <v>12</v>
      </c>
      <c r="K67" s="174">
        <f t="shared" si="1"/>
        <v>3941880</v>
      </c>
      <c r="L67" s="178" t="s">
        <v>574</v>
      </c>
    </row>
    <row r="68" spans="1:12" x14ac:dyDescent="0.3">
      <c r="B68" s="170">
        <v>60</v>
      </c>
      <c r="C68" s="171" t="s">
        <v>215</v>
      </c>
      <c r="D68" s="171" t="s">
        <v>215</v>
      </c>
      <c r="E68" s="172">
        <v>36</v>
      </c>
      <c r="F68" s="173" t="s">
        <v>140</v>
      </c>
      <c r="G68" s="173">
        <v>120</v>
      </c>
      <c r="H68" s="173" t="s">
        <v>566</v>
      </c>
      <c r="I68" s="183">
        <f>68400*107%</f>
        <v>73188</v>
      </c>
      <c r="J68" s="170">
        <v>12</v>
      </c>
      <c r="K68" s="174">
        <f t="shared" si="1"/>
        <v>731880</v>
      </c>
      <c r="L68" s="178" t="s">
        <v>574</v>
      </c>
    </row>
    <row r="69" spans="1:12" x14ac:dyDescent="0.3">
      <c r="A69" s="368"/>
      <c r="B69" s="369">
        <v>61</v>
      </c>
      <c r="C69" s="370" t="s">
        <v>217</v>
      </c>
      <c r="D69" s="370" t="s">
        <v>217</v>
      </c>
      <c r="E69" s="371">
        <v>24</v>
      </c>
      <c r="F69" s="372" t="s">
        <v>140</v>
      </c>
      <c r="G69" s="372">
        <v>24</v>
      </c>
      <c r="H69" s="372" t="s">
        <v>569</v>
      </c>
      <c r="I69" s="367">
        <f>114000*107%</f>
        <v>121980</v>
      </c>
      <c r="J69" s="369">
        <v>12</v>
      </c>
      <c r="K69" s="373">
        <f t="shared" si="1"/>
        <v>243960</v>
      </c>
      <c r="L69" s="374" t="s">
        <v>574</v>
      </c>
    </row>
    <row r="70" spans="1:12" x14ac:dyDescent="0.3">
      <c r="A70" s="368"/>
      <c r="B70" s="369">
        <v>62</v>
      </c>
      <c r="C70" s="370" t="s">
        <v>219</v>
      </c>
      <c r="D70" s="370" t="s">
        <v>219</v>
      </c>
      <c r="E70" s="371">
        <v>84</v>
      </c>
      <c r="F70" s="372" t="s">
        <v>140</v>
      </c>
      <c r="G70" s="372">
        <v>360</v>
      </c>
      <c r="H70" s="372" t="s">
        <v>566</v>
      </c>
      <c r="I70" s="367">
        <f>83909.2*107%</f>
        <v>89782.843999999997</v>
      </c>
      <c r="J70" s="369">
        <v>12</v>
      </c>
      <c r="K70" s="373">
        <f t="shared" si="1"/>
        <v>2693485.32</v>
      </c>
      <c r="L70" s="374" t="s">
        <v>574</v>
      </c>
    </row>
    <row r="71" spans="1:12" x14ac:dyDescent="0.3">
      <c r="B71" s="170">
        <v>63</v>
      </c>
      <c r="C71" s="171" t="s">
        <v>224</v>
      </c>
      <c r="D71" s="171" t="s">
        <v>224</v>
      </c>
      <c r="E71" s="172">
        <v>60</v>
      </c>
      <c r="F71" s="173" t="s">
        <v>140</v>
      </c>
      <c r="G71" s="173">
        <v>480</v>
      </c>
      <c r="H71" s="173" t="s">
        <v>567</v>
      </c>
      <c r="I71" s="183">
        <f>76720*107%</f>
        <v>82090.400000000009</v>
      </c>
      <c r="J71" s="170">
        <v>12</v>
      </c>
      <c r="K71" s="174">
        <f t="shared" si="1"/>
        <v>3283616.0000000005</v>
      </c>
      <c r="L71" s="178" t="s">
        <v>574</v>
      </c>
    </row>
    <row r="72" spans="1:12" x14ac:dyDescent="0.3">
      <c r="B72" s="170">
        <v>64</v>
      </c>
      <c r="C72" s="171" t="s">
        <v>228</v>
      </c>
      <c r="D72" s="171" t="s">
        <v>228</v>
      </c>
      <c r="E72" s="172">
        <v>312</v>
      </c>
      <c r="F72" s="173" t="s">
        <v>140</v>
      </c>
      <c r="G72" s="173">
        <v>3000</v>
      </c>
      <c r="H72" s="173" t="s">
        <v>571</v>
      </c>
      <c r="I72" s="183">
        <f>41840*107%</f>
        <v>44768.800000000003</v>
      </c>
      <c r="J72" s="170">
        <v>12</v>
      </c>
      <c r="K72" s="174">
        <f t="shared" si="1"/>
        <v>11192200</v>
      </c>
      <c r="L72" s="178" t="s">
        <v>574</v>
      </c>
    </row>
    <row r="73" spans="1:12" x14ac:dyDescent="0.3">
      <c r="B73" s="170">
        <v>65</v>
      </c>
      <c r="C73" s="171" t="s">
        <v>230</v>
      </c>
      <c r="D73" s="171" t="s">
        <v>230</v>
      </c>
      <c r="E73" s="172">
        <v>36</v>
      </c>
      <c r="F73" s="173" t="s">
        <v>140</v>
      </c>
      <c r="G73" s="173">
        <v>1200</v>
      </c>
      <c r="H73" s="173" t="s">
        <v>571</v>
      </c>
      <c r="I73" s="183">
        <f>20160*107%</f>
        <v>21571.200000000001</v>
      </c>
      <c r="J73" s="170">
        <v>12</v>
      </c>
      <c r="K73" s="174">
        <f t="shared" si="1"/>
        <v>2157120</v>
      </c>
      <c r="L73" s="178" t="s">
        <v>574</v>
      </c>
    </row>
    <row r="74" spans="1:12" x14ac:dyDescent="0.3">
      <c r="A74" s="368"/>
      <c r="B74" s="369">
        <v>66</v>
      </c>
      <c r="C74" s="370" t="s">
        <v>233</v>
      </c>
      <c r="D74" s="370" t="s">
        <v>233</v>
      </c>
      <c r="E74" s="371">
        <v>168</v>
      </c>
      <c r="F74" s="372" t="s">
        <v>140</v>
      </c>
      <c r="G74" s="372">
        <v>1200</v>
      </c>
      <c r="H74" s="372" t="s">
        <v>571</v>
      </c>
      <c r="I74" s="367">
        <f>20160*107%</f>
        <v>21571.200000000001</v>
      </c>
      <c r="J74" s="369">
        <v>12</v>
      </c>
      <c r="K74" s="373">
        <f t="shared" si="1"/>
        <v>2157120</v>
      </c>
      <c r="L74" s="374" t="s">
        <v>574</v>
      </c>
    </row>
    <row r="75" spans="1:12" x14ac:dyDescent="0.3">
      <c r="B75" s="170">
        <v>67</v>
      </c>
      <c r="C75" s="171" t="s">
        <v>235</v>
      </c>
      <c r="D75" s="171" t="s">
        <v>235</v>
      </c>
      <c r="E75" s="172">
        <v>96</v>
      </c>
      <c r="F75" s="173" t="s">
        <v>140</v>
      </c>
      <c r="G75" s="173">
        <v>120</v>
      </c>
      <c r="H75" s="173" t="s">
        <v>571</v>
      </c>
      <c r="I75" s="183">
        <f>43200*107%</f>
        <v>46224</v>
      </c>
      <c r="J75" s="170">
        <v>12</v>
      </c>
      <c r="K75" s="174">
        <f t="shared" si="1"/>
        <v>462240</v>
      </c>
      <c r="L75" s="178" t="s">
        <v>574</v>
      </c>
    </row>
    <row r="76" spans="1:12" x14ac:dyDescent="0.3">
      <c r="A76" s="368"/>
      <c r="B76" s="369">
        <v>68</v>
      </c>
      <c r="C76" s="370" t="s">
        <v>242</v>
      </c>
      <c r="D76" s="370" t="s">
        <v>242</v>
      </c>
      <c r="E76" s="371">
        <v>24</v>
      </c>
      <c r="F76" s="372" t="s">
        <v>140</v>
      </c>
      <c r="G76" s="372">
        <v>60</v>
      </c>
      <c r="H76" s="372" t="s">
        <v>567</v>
      </c>
      <c r="I76" s="367">
        <f>88000*107%</f>
        <v>94160</v>
      </c>
      <c r="J76" s="369">
        <v>12</v>
      </c>
      <c r="K76" s="373">
        <f t="shared" si="1"/>
        <v>470800</v>
      </c>
      <c r="L76" s="374" t="s">
        <v>574</v>
      </c>
    </row>
    <row r="77" spans="1:12" x14ac:dyDescent="0.3">
      <c r="B77" s="170">
        <v>69</v>
      </c>
      <c r="C77" s="171" t="s">
        <v>246</v>
      </c>
      <c r="D77" s="171" t="s">
        <v>246</v>
      </c>
      <c r="E77" s="172">
        <v>60</v>
      </c>
      <c r="F77" s="173" t="s">
        <v>140</v>
      </c>
      <c r="G77" s="173">
        <v>180</v>
      </c>
      <c r="H77" s="173" t="s">
        <v>567</v>
      </c>
      <c r="I77" s="183">
        <f>45000*107%</f>
        <v>48150</v>
      </c>
      <c r="J77" s="170">
        <v>12</v>
      </c>
      <c r="K77" s="174">
        <f t="shared" si="1"/>
        <v>722250</v>
      </c>
      <c r="L77" s="178" t="s">
        <v>574</v>
      </c>
    </row>
    <row r="78" spans="1:12" x14ac:dyDescent="0.3">
      <c r="B78" s="170">
        <v>70</v>
      </c>
      <c r="C78" s="171" t="s">
        <v>252</v>
      </c>
      <c r="D78" s="171" t="s">
        <v>252</v>
      </c>
      <c r="E78" s="172">
        <v>132</v>
      </c>
      <c r="F78" s="173" t="s">
        <v>140</v>
      </c>
      <c r="G78" s="173">
        <v>180</v>
      </c>
      <c r="H78" s="173" t="s">
        <v>567</v>
      </c>
      <c r="I78" s="183">
        <f>29000*107%</f>
        <v>31030</v>
      </c>
      <c r="J78" s="170">
        <v>12</v>
      </c>
      <c r="K78" s="174">
        <f t="shared" si="1"/>
        <v>465450</v>
      </c>
      <c r="L78" s="178" t="s">
        <v>574</v>
      </c>
    </row>
    <row r="79" spans="1:12" x14ac:dyDescent="0.3">
      <c r="B79" s="170">
        <v>71</v>
      </c>
      <c r="C79" s="171" t="s">
        <v>253</v>
      </c>
      <c r="D79" s="171" t="s">
        <v>253</v>
      </c>
      <c r="E79" s="172">
        <v>96</v>
      </c>
      <c r="F79" s="173" t="s">
        <v>140</v>
      </c>
      <c r="G79" s="173">
        <v>240</v>
      </c>
      <c r="H79" s="173" t="s">
        <v>566</v>
      </c>
      <c r="I79" s="183">
        <f>188297.6*107%</f>
        <v>201478.43200000003</v>
      </c>
      <c r="J79" s="170">
        <v>12</v>
      </c>
      <c r="K79" s="174">
        <f t="shared" si="1"/>
        <v>4029568.6400000006</v>
      </c>
      <c r="L79" s="178" t="s">
        <v>574</v>
      </c>
    </row>
    <row r="80" spans="1:12" x14ac:dyDescent="0.3">
      <c r="B80" s="170">
        <v>72</v>
      </c>
      <c r="C80" s="171" t="s">
        <v>255</v>
      </c>
      <c r="D80" s="171" t="s">
        <v>255</v>
      </c>
      <c r="E80" s="172">
        <v>36</v>
      </c>
      <c r="F80" s="173" t="s">
        <v>140</v>
      </c>
      <c r="G80" s="173">
        <v>24</v>
      </c>
      <c r="H80" s="173" t="s">
        <v>567</v>
      </c>
      <c r="I80" s="183">
        <f>7200*107%</f>
        <v>7704</v>
      </c>
      <c r="J80" s="170">
        <v>12</v>
      </c>
      <c r="K80" s="174">
        <f t="shared" si="1"/>
        <v>15408</v>
      </c>
      <c r="L80" s="178" t="s">
        <v>574</v>
      </c>
    </row>
    <row r="81" spans="1:14" x14ac:dyDescent="0.3">
      <c r="B81" s="170">
        <v>73</v>
      </c>
      <c r="C81" s="171" t="s">
        <v>256</v>
      </c>
      <c r="D81" s="171" t="s">
        <v>256</v>
      </c>
      <c r="E81" s="172">
        <v>60</v>
      </c>
      <c r="F81" s="173" t="s">
        <v>140</v>
      </c>
      <c r="G81" s="173">
        <v>120</v>
      </c>
      <c r="H81" s="173" t="s">
        <v>572</v>
      </c>
      <c r="I81" s="183">
        <f>12800*107%</f>
        <v>13696</v>
      </c>
      <c r="J81" s="170">
        <v>12</v>
      </c>
      <c r="K81" s="174">
        <f t="shared" si="1"/>
        <v>136960</v>
      </c>
      <c r="L81" s="178" t="s">
        <v>574</v>
      </c>
    </row>
    <row r="82" spans="1:14" x14ac:dyDescent="0.3">
      <c r="B82" s="170">
        <v>74</v>
      </c>
      <c r="C82" s="171" t="s">
        <v>257</v>
      </c>
      <c r="D82" s="171" t="s">
        <v>257</v>
      </c>
      <c r="E82" s="172">
        <v>1464</v>
      </c>
      <c r="F82" s="173" t="s">
        <v>140</v>
      </c>
      <c r="G82" s="173">
        <v>960</v>
      </c>
      <c r="H82" s="173" t="s">
        <v>572</v>
      </c>
      <c r="I82" s="183">
        <f>26270.4*107%</f>
        <v>28109.328000000005</v>
      </c>
      <c r="J82" s="170">
        <v>12</v>
      </c>
      <c r="K82" s="174">
        <f t="shared" si="1"/>
        <v>2248746.2400000007</v>
      </c>
      <c r="L82" s="178" t="s">
        <v>574</v>
      </c>
    </row>
    <row r="83" spans="1:14" x14ac:dyDescent="0.3">
      <c r="B83" s="170">
        <v>75</v>
      </c>
      <c r="C83" s="171" t="s">
        <v>258</v>
      </c>
      <c r="D83" s="171" t="s">
        <v>258</v>
      </c>
      <c r="E83" s="172">
        <v>72</v>
      </c>
      <c r="F83" s="173" t="s">
        <v>140</v>
      </c>
      <c r="G83" s="173">
        <v>36</v>
      </c>
      <c r="H83" s="173" t="s">
        <v>567</v>
      </c>
      <c r="I83" s="183">
        <f>21000*107%</f>
        <v>22470</v>
      </c>
      <c r="J83" s="170">
        <v>12</v>
      </c>
      <c r="K83" s="174">
        <f t="shared" si="1"/>
        <v>67410</v>
      </c>
      <c r="L83" s="178" t="s">
        <v>574</v>
      </c>
    </row>
    <row r="84" spans="1:14" x14ac:dyDescent="0.3">
      <c r="B84" s="170">
        <v>76</v>
      </c>
      <c r="C84" s="171" t="s">
        <v>259</v>
      </c>
      <c r="D84" s="171" t="s">
        <v>259</v>
      </c>
      <c r="E84" s="172">
        <v>48</v>
      </c>
      <c r="F84" s="173" t="s">
        <v>140</v>
      </c>
      <c r="G84" s="173">
        <v>120</v>
      </c>
      <c r="H84" s="173" t="s">
        <v>567</v>
      </c>
      <c r="I84" s="183">
        <f>56325.2*107%</f>
        <v>60267.964</v>
      </c>
      <c r="J84" s="170">
        <v>12</v>
      </c>
      <c r="K84" s="174">
        <f t="shared" si="1"/>
        <v>602679.64</v>
      </c>
      <c r="L84" s="178" t="s">
        <v>574</v>
      </c>
    </row>
    <row r="85" spans="1:14" x14ac:dyDescent="0.3">
      <c r="B85" s="170">
        <v>77</v>
      </c>
      <c r="C85" s="171" t="s">
        <v>260</v>
      </c>
      <c r="D85" s="171" t="s">
        <v>260</v>
      </c>
      <c r="E85" s="172">
        <v>36</v>
      </c>
      <c r="F85" s="173" t="s">
        <v>140</v>
      </c>
      <c r="G85" s="173">
        <v>60</v>
      </c>
      <c r="H85" s="173" t="s">
        <v>566</v>
      </c>
      <c r="I85" s="183">
        <f>272525*107%</f>
        <v>291601.75</v>
      </c>
      <c r="J85" s="170">
        <v>12</v>
      </c>
      <c r="K85" s="174">
        <f t="shared" si="1"/>
        <v>1458008.75</v>
      </c>
      <c r="L85" s="178" t="s">
        <v>574</v>
      </c>
    </row>
    <row r="86" spans="1:14" x14ac:dyDescent="0.3">
      <c r="B86" s="170">
        <v>78</v>
      </c>
      <c r="C86" s="171" t="s">
        <v>261</v>
      </c>
      <c r="D86" s="181" t="s">
        <v>261</v>
      </c>
      <c r="E86" s="172">
        <v>24</v>
      </c>
      <c r="F86" s="173" t="s">
        <v>140</v>
      </c>
      <c r="G86" s="173">
        <v>60</v>
      </c>
      <c r="H86" s="173" t="s">
        <v>566</v>
      </c>
      <c r="I86" s="183">
        <f>221030*107%</f>
        <v>236502.1</v>
      </c>
      <c r="J86" s="170">
        <v>12</v>
      </c>
      <c r="K86" s="174">
        <f t="shared" si="1"/>
        <v>1182510.5</v>
      </c>
      <c r="L86" s="178" t="s">
        <v>574</v>
      </c>
    </row>
    <row r="87" spans="1:14" x14ac:dyDescent="0.3">
      <c r="A87" s="368"/>
      <c r="B87" s="369">
        <v>79</v>
      </c>
      <c r="C87" s="370" t="s">
        <v>263</v>
      </c>
      <c r="D87" s="370" t="s">
        <v>263</v>
      </c>
      <c r="E87" s="371">
        <v>60</v>
      </c>
      <c r="F87" s="372" t="s">
        <v>140</v>
      </c>
      <c r="G87" s="372">
        <v>420</v>
      </c>
      <c r="H87" s="372" t="s">
        <v>567</v>
      </c>
      <c r="I87" s="367">
        <f>48080*107%</f>
        <v>51445.600000000006</v>
      </c>
      <c r="J87" s="369">
        <v>12</v>
      </c>
      <c r="K87" s="373">
        <f t="shared" si="1"/>
        <v>1800596.0000000002</v>
      </c>
      <c r="L87" s="374" t="s">
        <v>574</v>
      </c>
    </row>
    <row r="88" spans="1:14" x14ac:dyDescent="0.3">
      <c r="A88" s="368"/>
      <c r="B88" s="369">
        <v>80</v>
      </c>
      <c r="C88" s="370" t="s">
        <v>265</v>
      </c>
      <c r="D88" s="370" t="s">
        <v>265</v>
      </c>
      <c r="E88" s="371">
        <v>24</v>
      </c>
      <c r="F88" s="372" t="s">
        <v>140</v>
      </c>
      <c r="G88" s="372">
        <v>12</v>
      </c>
      <c r="H88" s="372" t="s">
        <v>567</v>
      </c>
      <c r="I88" s="367">
        <f>506757.6*107%</f>
        <v>542230.63199999998</v>
      </c>
      <c r="J88" s="369">
        <v>12</v>
      </c>
      <c r="K88" s="373">
        <f t="shared" si="1"/>
        <v>542230.63199999998</v>
      </c>
      <c r="L88" s="374" t="s">
        <v>574</v>
      </c>
    </row>
    <row r="89" spans="1:14" x14ac:dyDescent="0.3">
      <c r="A89" s="368"/>
      <c r="B89" s="369">
        <v>81</v>
      </c>
      <c r="C89" s="370" t="s">
        <v>266</v>
      </c>
      <c r="D89" s="370" t="s">
        <v>266</v>
      </c>
      <c r="E89" s="371">
        <v>60</v>
      </c>
      <c r="F89" s="372" t="s">
        <v>140</v>
      </c>
      <c r="G89" s="372">
        <v>60</v>
      </c>
      <c r="H89" s="372" t="s">
        <v>567</v>
      </c>
      <c r="I89" s="367">
        <f>13500*107%</f>
        <v>14445</v>
      </c>
      <c r="J89" s="369">
        <v>12</v>
      </c>
      <c r="K89" s="373">
        <f t="shared" si="1"/>
        <v>72225</v>
      </c>
      <c r="L89" s="374" t="s">
        <v>574</v>
      </c>
      <c r="N89" s="199" t="s">
        <v>615</v>
      </c>
    </row>
    <row r="90" spans="1:14" x14ac:dyDescent="0.3">
      <c r="A90" s="368"/>
      <c r="B90" s="369">
        <v>82</v>
      </c>
      <c r="C90" s="370" t="s">
        <v>267</v>
      </c>
      <c r="D90" s="370" t="s">
        <v>267</v>
      </c>
      <c r="E90" s="371">
        <v>60</v>
      </c>
      <c r="F90" s="372" t="s">
        <v>140</v>
      </c>
      <c r="G90" s="372">
        <v>240</v>
      </c>
      <c r="H90" s="372" t="s">
        <v>567</v>
      </c>
      <c r="I90" s="367">
        <f>19900*107%</f>
        <v>21293</v>
      </c>
      <c r="J90" s="369">
        <v>12</v>
      </c>
      <c r="K90" s="373">
        <f t="shared" si="1"/>
        <v>425860</v>
      </c>
      <c r="L90" s="374" t="s">
        <v>574</v>
      </c>
      <c r="N90" s="323">
        <v>35000000</v>
      </c>
    </row>
    <row r="91" spans="1:14" x14ac:dyDescent="0.3">
      <c r="A91" s="368"/>
      <c r="B91" s="369">
        <v>83</v>
      </c>
      <c r="C91" s="370" t="s">
        <v>268</v>
      </c>
      <c r="D91" s="370" t="s">
        <v>268</v>
      </c>
      <c r="E91" s="371">
        <v>72</v>
      </c>
      <c r="F91" s="372" t="s">
        <v>140</v>
      </c>
      <c r="G91" s="372">
        <v>12</v>
      </c>
      <c r="H91" s="372" t="s">
        <v>567</v>
      </c>
      <c r="I91" s="367">
        <f>172000*107%</f>
        <v>184040</v>
      </c>
      <c r="J91" s="369">
        <v>12</v>
      </c>
      <c r="K91" s="373">
        <f t="shared" si="1"/>
        <v>184040</v>
      </c>
      <c r="L91" s="374" t="s">
        <v>574</v>
      </c>
      <c r="N91" s="323">
        <v>389583</v>
      </c>
    </row>
    <row r="92" spans="1:14" x14ac:dyDescent="0.3">
      <c r="A92" s="368"/>
      <c r="B92" s="369">
        <v>84</v>
      </c>
      <c r="C92" s="370" t="s">
        <v>269</v>
      </c>
      <c r="D92" s="370" t="s">
        <v>269</v>
      </c>
      <c r="E92" s="371">
        <v>1344</v>
      </c>
      <c r="F92" s="372" t="s">
        <v>140</v>
      </c>
      <c r="G92" s="372">
        <v>1500</v>
      </c>
      <c r="H92" s="372" t="s">
        <v>567</v>
      </c>
      <c r="I92" s="367">
        <f>48510*107%</f>
        <v>51905.700000000004</v>
      </c>
      <c r="J92" s="369">
        <v>12</v>
      </c>
      <c r="K92" s="373">
        <f t="shared" ref="K92:K121" si="2">(I92*G92)/J92</f>
        <v>6488212.5</v>
      </c>
      <c r="L92" s="374" t="s">
        <v>574</v>
      </c>
      <c r="N92" s="323">
        <v>618750</v>
      </c>
    </row>
    <row r="93" spans="1:14" x14ac:dyDescent="0.3">
      <c r="A93" s="368"/>
      <c r="B93" s="369">
        <v>85</v>
      </c>
      <c r="C93" s="370" t="s">
        <v>271</v>
      </c>
      <c r="D93" s="370" t="s">
        <v>271</v>
      </c>
      <c r="E93" s="371">
        <v>24</v>
      </c>
      <c r="F93" s="372" t="s">
        <v>140</v>
      </c>
      <c r="G93" s="372">
        <v>36</v>
      </c>
      <c r="H93" s="372" t="s">
        <v>567</v>
      </c>
      <c r="I93" s="367">
        <f>115405.6*107%</f>
        <v>123483.99200000001</v>
      </c>
      <c r="J93" s="369">
        <v>12</v>
      </c>
      <c r="K93" s="373">
        <f t="shared" si="2"/>
        <v>370451.97600000002</v>
      </c>
      <c r="L93" s="374" t="s">
        <v>574</v>
      </c>
      <c r="N93" s="323">
        <v>4125000</v>
      </c>
    </row>
    <row r="94" spans="1:14" x14ac:dyDescent="0.3">
      <c r="A94" s="368"/>
      <c r="B94" s="369">
        <v>86</v>
      </c>
      <c r="C94" s="370" t="s">
        <v>272</v>
      </c>
      <c r="D94" s="370" t="s">
        <v>272</v>
      </c>
      <c r="E94" s="371">
        <v>84</v>
      </c>
      <c r="F94" s="372" t="s">
        <v>140</v>
      </c>
      <c r="G94" s="372">
        <v>240</v>
      </c>
      <c r="H94" s="372" t="s">
        <v>567</v>
      </c>
      <c r="I94" s="367">
        <f>54000*107%</f>
        <v>57780</v>
      </c>
      <c r="J94" s="369">
        <v>12</v>
      </c>
      <c r="K94" s="373">
        <f t="shared" si="2"/>
        <v>1155600</v>
      </c>
      <c r="L94" s="374" t="s">
        <v>574</v>
      </c>
      <c r="N94" s="323">
        <v>412500</v>
      </c>
    </row>
    <row r="95" spans="1:14" x14ac:dyDescent="0.3">
      <c r="A95" s="368"/>
      <c r="B95" s="369">
        <v>87</v>
      </c>
      <c r="C95" s="370" t="s">
        <v>273</v>
      </c>
      <c r="D95" s="370" t="s">
        <v>273</v>
      </c>
      <c r="E95" s="371">
        <v>72</v>
      </c>
      <c r="F95" s="372" t="s">
        <v>140</v>
      </c>
      <c r="G95" s="372">
        <v>240</v>
      </c>
      <c r="H95" s="372" t="s">
        <v>567</v>
      </c>
      <c r="I95" s="367">
        <f>46554.3*107%</f>
        <v>49813.101000000002</v>
      </c>
      <c r="J95" s="369">
        <v>12</v>
      </c>
      <c r="K95" s="373">
        <f t="shared" si="2"/>
        <v>996262.02</v>
      </c>
      <c r="L95" s="374" t="s">
        <v>574</v>
      </c>
      <c r="N95" s="323">
        <v>201667</v>
      </c>
    </row>
    <row r="96" spans="1:14" x14ac:dyDescent="0.3">
      <c r="B96" s="170">
        <v>88</v>
      </c>
      <c r="C96" s="171" t="s">
        <v>275</v>
      </c>
      <c r="D96" s="181" t="s">
        <v>275</v>
      </c>
      <c r="E96" s="172">
        <v>30</v>
      </c>
      <c r="F96" s="173" t="s">
        <v>276</v>
      </c>
      <c r="G96" s="173">
        <v>1</v>
      </c>
      <c r="H96" s="173" t="s">
        <v>62</v>
      </c>
      <c r="I96" s="183">
        <v>660000000</v>
      </c>
      <c r="J96" s="170">
        <v>12</v>
      </c>
      <c r="K96" s="174">
        <f>(I96*G96)/J96</f>
        <v>55000000</v>
      </c>
      <c r="L96" s="177" t="s">
        <v>574</v>
      </c>
      <c r="N96" s="323">
        <v>389583</v>
      </c>
    </row>
    <row r="97" spans="2:15" x14ac:dyDescent="0.3">
      <c r="B97" s="170">
        <v>89</v>
      </c>
      <c r="C97" s="171"/>
      <c r="D97" s="181" t="s">
        <v>209</v>
      </c>
      <c r="E97" s="172"/>
      <c r="F97" s="173"/>
      <c r="G97" s="173">
        <v>36</v>
      </c>
      <c r="H97" s="173" t="s">
        <v>566</v>
      </c>
      <c r="I97" s="183">
        <f>66720*107%</f>
        <v>71390.400000000009</v>
      </c>
      <c r="J97" s="170">
        <v>12</v>
      </c>
      <c r="K97" s="174">
        <f t="shared" si="2"/>
        <v>214171.20000000004</v>
      </c>
      <c r="L97" s="178" t="s">
        <v>575</v>
      </c>
      <c r="N97" s="324">
        <f>SUM(N90:N96)</f>
        <v>41137083</v>
      </c>
      <c r="O97" s="245">
        <f>K96-N97</f>
        <v>13862917</v>
      </c>
    </row>
    <row r="98" spans="2:15" x14ac:dyDescent="0.3">
      <c r="B98" s="170">
        <v>90</v>
      </c>
      <c r="C98" s="171"/>
      <c r="D98" s="181" t="s">
        <v>210</v>
      </c>
      <c r="E98" s="172"/>
      <c r="F98" s="173"/>
      <c r="G98" s="173">
        <v>24</v>
      </c>
      <c r="H98" s="173" t="s">
        <v>569</v>
      </c>
      <c r="I98" s="183">
        <f>32500*107%</f>
        <v>34775</v>
      </c>
      <c r="J98" s="170">
        <v>12</v>
      </c>
      <c r="K98" s="174">
        <f t="shared" si="2"/>
        <v>69550</v>
      </c>
      <c r="L98" s="178" t="s">
        <v>575</v>
      </c>
    </row>
    <row r="99" spans="2:15" x14ac:dyDescent="0.3">
      <c r="B99" s="170">
        <v>91</v>
      </c>
      <c r="C99" s="171"/>
      <c r="D99" s="181" t="s">
        <v>211</v>
      </c>
      <c r="E99" s="172"/>
      <c r="F99" s="173"/>
      <c r="G99" s="173">
        <v>48</v>
      </c>
      <c r="H99" s="173" t="s">
        <v>566</v>
      </c>
      <c r="I99" s="183">
        <f>88700*107%</f>
        <v>94909</v>
      </c>
      <c r="J99" s="170">
        <v>12</v>
      </c>
      <c r="K99" s="174">
        <f t="shared" si="2"/>
        <v>379636</v>
      </c>
      <c r="L99" s="178" t="s">
        <v>575</v>
      </c>
    </row>
    <row r="100" spans="2:15" x14ac:dyDescent="0.3">
      <c r="B100" s="170">
        <v>92</v>
      </c>
      <c r="C100" s="171"/>
      <c r="D100" s="181" t="s">
        <v>214</v>
      </c>
      <c r="E100" s="172"/>
      <c r="F100" s="173"/>
      <c r="G100" s="173">
        <v>48</v>
      </c>
      <c r="H100" s="173" t="s">
        <v>566</v>
      </c>
      <c r="I100" s="183">
        <f>122800*107%</f>
        <v>131396</v>
      </c>
      <c r="J100" s="170">
        <v>12</v>
      </c>
      <c r="K100" s="174">
        <f t="shared" si="2"/>
        <v>525584</v>
      </c>
      <c r="L100" s="178" t="s">
        <v>575</v>
      </c>
    </row>
    <row r="101" spans="2:15" x14ac:dyDescent="0.3">
      <c r="B101" s="170">
        <v>93</v>
      </c>
      <c r="C101" s="171"/>
      <c r="D101" s="181" t="s">
        <v>219</v>
      </c>
      <c r="E101" s="172"/>
      <c r="F101" s="173"/>
      <c r="G101" s="173">
        <v>48</v>
      </c>
      <c r="H101" s="173" t="s">
        <v>566</v>
      </c>
      <c r="I101" s="183">
        <f>83909.2*107%</f>
        <v>89782.843999999997</v>
      </c>
      <c r="J101" s="170">
        <v>12</v>
      </c>
      <c r="K101" s="174">
        <f t="shared" si="2"/>
        <v>359131.37599999999</v>
      </c>
      <c r="L101" s="178" t="s">
        <v>575</v>
      </c>
    </row>
    <row r="102" spans="2:15" x14ac:dyDescent="0.3">
      <c r="B102" s="170">
        <v>94</v>
      </c>
      <c r="C102" s="171"/>
      <c r="D102" s="181" t="s">
        <v>269</v>
      </c>
      <c r="E102" s="172"/>
      <c r="F102" s="173"/>
      <c r="G102" s="173">
        <v>180</v>
      </c>
      <c r="H102" s="173" t="s">
        <v>567</v>
      </c>
      <c r="I102" s="183">
        <f>48510*107%</f>
        <v>51905.700000000004</v>
      </c>
      <c r="J102" s="170">
        <v>12</v>
      </c>
      <c r="K102" s="174">
        <f t="shared" si="2"/>
        <v>778585.5</v>
      </c>
      <c r="L102" s="178" t="s">
        <v>575</v>
      </c>
    </row>
    <row r="103" spans="2:15" x14ac:dyDescent="0.3">
      <c r="B103" s="170">
        <v>95</v>
      </c>
      <c r="C103" s="171"/>
      <c r="D103" s="181" t="s">
        <v>170</v>
      </c>
      <c r="E103" s="172"/>
      <c r="F103" s="173"/>
      <c r="G103" s="173">
        <v>84</v>
      </c>
      <c r="H103" s="173" t="s">
        <v>571</v>
      </c>
      <c r="I103" s="183">
        <f>28500*107%</f>
        <v>30495</v>
      </c>
      <c r="J103" s="170">
        <v>12</v>
      </c>
      <c r="K103" s="174">
        <f t="shared" si="2"/>
        <v>213465</v>
      </c>
      <c r="L103" s="178" t="s">
        <v>575</v>
      </c>
    </row>
    <row r="104" spans="2:15" x14ac:dyDescent="0.3">
      <c r="B104" s="170">
        <v>96</v>
      </c>
      <c r="C104" s="171"/>
      <c r="D104" s="181" t="s">
        <v>169</v>
      </c>
      <c r="E104" s="172"/>
      <c r="F104" s="173"/>
      <c r="G104" s="173">
        <v>48</v>
      </c>
      <c r="H104" s="173" t="s">
        <v>566</v>
      </c>
      <c r="I104" s="183">
        <f>92000*107%</f>
        <v>98440</v>
      </c>
      <c r="J104" s="170">
        <v>12</v>
      </c>
      <c r="K104" s="174">
        <f t="shared" si="2"/>
        <v>393760</v>
      </c>
      <c r="L104" s="178" t="s">
        <v>575</v>
      </c>
    </row>
    <row r="105" spans="2:15" x14ac:dyDescent="0.3">
      <c r="B105" s="170">
        <v>97</v>
      </c>
      <c r="C105" s="171"/>
      <c r="D105" s="181" t="s">
        <v>253</v>
      </c>
      <c r="E105" s="172"/>
      <c r="F105" s="173"/>
      <c r="G105" s="173">
        <v>48</v>
      </c>
      <c r="H105" s="173" t="s">
        <v>566</v>
      </c>
      <c r="I105" s="183">
        <f>188297.6*107%</f>
        <v>201478.43200000003</v>
      </c>
      <c r="J105" s="170">
        <v>12</v>
      </c>
      <c r="K105" s="174">
        <f t="shared" si="2"/>
        <v>805913.72800000012</v>
      </c>
      <c r="L105" s="178" t="s">
        <v>575</v>
      </c>
    </row>
    <row r="106" spans="2:15" x14ac:dyDescent="0.3">
      <c r="B106" s="170">
        <v>98</v>
      </c>
      <c r="C106" s="171"/>
      <c r="D106" s="181" t="s">
        <v>193</v>
      </c>
      <c r="E106" s="172"/>
      <c r="F106" s="173"/>
      <c r="G106" s="173">
        <v>24</v>
      </c>
      <c r="H106" s="173" t="s">
        <v>567</v>
      </c>
      <c r="I106" s="183">
        <f>46487.2*107%</f>
        <v>49741.303999999996</v>
      </c>
      <c r="J106" s="170">
        <v>12</v>
      </c>
      <c r="K106" s="174">
        <f t="shared" si="2"/>
        <v>99482.607999999993</v>
      </c>
      <c r="L106" s="178" t="s">
        <v>575</v>
      </c>
    </row>
    <row r="107" spans="2:15" x14ac:dyDescent="0.3">
      <c r="B107" s="170">
        <v>99</v>
      </c>
      <c r="C107" s="171"/>
      <c r="D107" s="181" t="s">
        <v>195</v>
      </c>
      <c r="E107" s="172"/>
      <c r="F107" s="173"/>
      <c r="G107" s="173">
        <v>24</v>
      </c>
      <c r="H107" s="173" t="s">
        <v>567</v>
      </c>
      <c r="I107" s="183">
        <f>61922.4*107%</f>
        <v>66256.968000000008</v>
      </c>
      <c r="J107" s="170">
        <v>12</v>
      </c>
      <c r="K107" s="174">
        <f t="shared" si="2"/>
        <v>132513.93600000002</v>
      </c>
      <c r="L107" s="178" t="s">
        <v>575</v>
      </c>
    </row>
    <row r="108" spans="2:15" x14ac:dyDescent="0.3">
      <c r="B108" s="170">
        <v>100</v>
      </c>
      <c r="C108" s="171"/>
      <c r="D108" s="181" t="s">
        <v>199</v>
      </c>
      <c r="E108" s="172"/>
      <c r="F108" s="173"/>
      <c r="G108" s="173">
        <v>12</v>
      </c>
      <c r="H108" s="173" t="s">
        <v>567</v>
      </c>
      <c r="I108" s="183">
        <f>37400*107%</f>
        <v>40018</v>
      </c>
      <c r="J108" s="170">
        <v>12</v>
      </c>
      <c r="K108" s="174">
        <f t="shared" si="2"/>
        <v>40018</v>
      </c>
      <c r="L108" s="178" t="s">
        <v>575</v>
      </c>
    </row>
    <row r="109" spans="2:15" x14ac:dyDescent="0.3">
      <c r="B109" s="170">
        <v>101</v>
      </c>
      <c r="C109" s="171"/>
      <c r="D109" s="181" t="s">
        <v>158</v>
      </c>
      <c r="E109" s="172"/>
      <c r="F109" s="173"/>
      <c r="G109" s="173">
        <v>12</v>
      </c>
      <c r="H109" s="173" t="s">
        <v>567</v>
      </c>
      <c r="I109" s="183">
        <f>44000*107%</f>
        <v>47080</v>
      </c>
      <c r="J109" s="170">
        <v>12</v>
      </c>
      <c r="K109" s="174">
        <f t="shared" si="2"/>
        <v>47080</v>
      </c>
      <c r="L109" s="178" t="s">
        <v>575</v>
      </c>
    </row>
    <row r="110" spans="2:15" x14ac:dyDescent="0.3">
      <c r="B110" s="170">
        <v>102</v>
      </c>
      <c r="C110" s="171"/>
      <c r="D110" s="181" t="s">
        <v>181</v>
      </c>
      <c r="E110" s="172"/>
      <c r="F110" s="173"/>
      <c r="G110" s="173">
        <v>12</v>
      </c>
      <c r="H110" s="173" t="s">
        <v>567</v>
      </c>
      <c r="I110" s="183">
        <f>26013.9*107%</f>
        <v>27834.873000000003</v>
      </c>
      <c r="J110" s="170">
        <v>12</v>
      </c>
      <c r="K110" s="174">
        <f t="shared" si="2"/>
        <v>27834.873000000003</v>
      </c>
      <c r="L110" s="178" t="s">
        <v>575</v>
      </c>
    </row>
    <row r="111" spans="2:15" x14ac:dyDescent="0.3">
      <c r="B111" s="170">
        <v>103</v>
      </c>
      <c r="C111" s="171"/>
      <c r="D111" s="181" t="s">
        <v>186</v>
      </c>
      <c r="E111" s="172"/>
      <c r="F111" s="173"/>
      <c r="G111" s="173">
        <v>12</v>
      </c>
      <c r="H111" s="173" t="s">
        <v>567</v>
      </c>
      <c r="I111" s="183">
        <f>162500*107%</f>
        <v>173875</v>
      </c>
      <c r="J111" s="170">
        <v>12</v>
      </c>
      <c r="K111" s="174">
        <f t="shared" si="2"/>
        <v>173875</v>
      </c>
      <c r="L111" s="178" t="s">
        <v>575</v>
      </c>
    </row>
    <row r="112" spans="2:15" x14ac:dyDescent="0.3">
      <c r="B112" s="170">
        <v>104</v>
      </c>
      <c r="C112" s="171"/>
      <c r="D112" s="181" t="s">
        <v>272</v>
      </c>
      <c r="E112" s="172"/>
      <c r="F112" s="173"/>
      <c r="G112" s="173">
        <v>12</v>
      </c>
      <c r="H112" s="173" t="s">
        <v>567</v>
      </c>
      <c r="I112" s="183">
        <f>54000*107%</f>
        <v>57780</v>
      </c>
      <c r="J112" s="170">
        <v>12</v>
      </c>
      <c r="K112" s="174">
        <f t="shared" si="2"/>
        <v>57780</v>
      </c>
      <c r="L112" s="178" t="s">
        <v>575</v>
      </c>
    </row>
    <row r="113" spans="2:17" x14ac:dyDescent="0.3">
      <c r="B113" s="170">
        <v>105</v>
      </c>
      <c r="C113" s="171"/>
      <c r="D113" s="181" t="s">
        <v>273</v>
      </c>
      <c r="E113" s="172"/>
      <c r="F113" s="173"/>
      <c r="G113" s="173">
        <v>12</v>
      </c>
      <c r="H113" s="173" t="s">
        <v>567</v>
      </c>
      <c r="I113" s="183">
        <f>46554.3*107%</f>
        <v>49813.101000000002</v>
      </c>
      <c r="J113" s="170">
        <v>12</v>
      </c>
      <c r="K113" s="174">
        <f t="shared" si="2"/>
        <v>49813.101000000002</v>
      </c>
      <c r="L113" s="178" t="s">
        <v>575</v>
      </c>
    </row>
    <row r="114" spans="2:17" x14ac:dyDescent="0.3">
      <c r="B114" s="170">
        <v>106</v>
      </c>
      <c r="C114" s="171"/>
      <c r="D114" s="181" t="s">
        <v>149</v>
      </c>
      <c r="E114" s="172"/>
      <c r="F114" s="173"/>
      <c r="G114" s="173">
        <v>12</v>
      </c>
      <c r="H114" s="173" t="s">
        <v>567</v>
      </c>
      <c r="I114" s="183">
        <f>49500*107%</f>
        <v>52965</v>
      </c>
      <c r="J114" s="170">
        <v>12</v>
      </c>
      <c r="K114" s="174">
        <f t="shared" si="2"/>
        <v>52965</v>
      </c>
      <c r="L114" s="178" t="s">
        <v>575</v>
      </c>
    </row>
    <row r="115" spans="2:17" x14ac:dyDescent="0.3">
      <c r="B115" s="170">
        <v>107</v>
      </c>
      <c r="C115" s="171"/>
      <c r="D115" s="181" t="s">
        <v>171</v>
      </c>
      <c r="E115" s="172"/>
      <c r="F115" s="173"/>
      <c r="G115" s="173">
        <v>24</v>
      </c>
      <c r="H115" s="173" t="s">
        <v>567</v>
      </c>
      <c r="I115" s="183">
        <f>38000*107%</f>
        <v>40660</v>
      </c>
      <c r="J115" s="170">
        <v>12</v>
      </c>
      <c r="K115" s="174">
        <f t="shared" si="2"/>
        <v>81320</v>
      </c>
      <c r="L115" s="178" t="s">
        <v>575</v>
      </c>
    </row>
    <row r="116" spans="2:17" x14ac:dyDescent="0.3">
      <c r="B116" s="170">
        <v>108</v>
      </c>
      <c r="C116" s="171"/>
      <c r="D116" s="181" t="s">
        <v>161</v>
      </c>
      <c r="E116" s="172"/>
      <c r="F116" s="173"/>
      <c r="G116" s="173">
        <v>24</v>
      </c>
      <c r="H116" s="173" t="s">
        <v>567</v>
      </c>
      <c r="I116" s="183">
        <f>37968.7*107%</f>
        <v>40626.508999999998</v>
      </c>
      <c r="J116" s="170">
        <v>12</v>
      </c>
      <c r="K116" s="174">
        <f t="shared" si="2"/>
        <v>81253.017999999996</v>
      </c>
      <c r="L116" s="178" t="s">
        <v>575</v>
      </c>
    </row>
    <row r="117" spans="2:17" x14ac:dyDescent="0.3">
      <c r="B117" s="170">
        <v>109</v>
      </c>
      <c r="C117" s="171"/>
      <c r="D117" s="181" t="s">
        <v>166</v>
      </c>
      <c r="E117" s="172"/>
      <c r="F117" s="173"/>
      <c r="G117" s="173">
        <v>12</v>
      </c>
      <c r="H117" s="173" t="s">
        <v>567</v>
      </c>
      <c r="I117" s="183">
        <f>22000*107%</f>
        <v>23540</v>
      </c>
      <c r="J117" s="170">
        <v>12</v>
      </c>
      <c r="K117" s="174">
        <f t="shared" si="2"/>
        <v>23540</v>
      </c>
      <c r="L117" s="178" t="s">
        <v>575</v>
      </c>
    </row>
    <row r="118" spans="2:17" x14ac:dyDescent="0.3">
      <c r="B118" s="170">
        <v>110</v>
      </c>
      <c r="C118" s="171"/>
      <c r="D118" s="181" t="s">
        <v>565</v>
      </c>
      <c r="E118" s="172"/>
      <c r="F118" s="173"/>
      <c r="G118" s="173">
        <v>12</v>
      </c>
      <c r="H118" s="173" t="s">
        <v>567</v>
      </c>
      <c r="I118" s="183">
        <f>92700*107%</f>
        <v>99189</v>
      </c>
      <c r="J118" s="170">
        <v>12</v>
      </c>
      <c r="K118" s="174">
        <f t="shared" si="2"/>
        <v>99189</v>
      </c>
      <c r="L118" s="178" t="s">
        <v>575</v>
      </c>
    </row>
    <row r="119" spans="2:17" x14ac:dyDescent="0.3">
      <c r="B119" s="170">
        <v>111</v>
      </c>
      <c r="C119" s="171" t="s">
        <v>282</v>
      </c>
      <c r="D119" s="181" t="s">
        <v>282</v>
      </c>
      <c r="E119" s="172">
        <v>12</v>
      </c>
      <c r="F119" s="173" t="s">
        <v>140</v>
      </c>
      <c r="G119" s="173">
        <v>144</v>
      </c>
      <c r="H119" s="173" t="s">
        <v>567</v>
      </c>
      <c r="I119" s="182">
        <f>18000*107%</f>
        <v>19260</v>
      </c>
      <c r="J119" s="170">
        <v>12</v>
      </c>
      <c r="K119" s="174">
        <f t="shared" si="2"/>
        <v>231120</v>
      </c>
      <c r="L119" s="178" t="s">
        <v>575</v>
      </c>
    </row>
    <row r="120" spans="2:17" x14ac:dyDescent="0.3">
      <c r="B120" s="170">
        <v>112</v>
      </c>
      <c r="C120" s="171" t="s">
        <v>283</v>
      </c>
      <c r="D120" s="171" t="s">
        <v>283</v>
      </c>
      <c r="E120" s="172">
        <v>24</v>
      </c>
      <c r="F120" s="173" t="s">
        <v>140</v>
      </c>
      <c r="G120" s="173">
        <v>60</v>
      </c>
      <c r="H120" s="173" t="s">
        <v>567</v>
      </c>
      <c r="I120" s="182">
        <f>64350*107%</f>
        <v>68854.5</v>
      </c>
      <c r="J120" s="170">
        <v>12</v>
      </c>
      <c r="K120" s="174">
        <f t="shared" si="2"/>
        <v>344272.5</v>
      </c>
      <c r="L120" s="178" t="s">
        <v>575</v>
      </c>
    </row>
    <row r="121" spans="2:17" x14ac:dyDescent="0.3">
      <c r="B121" s="170">
        <v>113</v>
      </c>
      <c r="C121" s="171" t="s">
        <v>284</v>
      </c>
      <c r="D121" s="171" t="s">
        <v>284</v>
      </c>
      <c r="E121" s="172">
        <v>36</v>
      </c>
      <c r="F121" s="173" t="s">
        <v>140</v>
      </c>
      <c r="G121" s="173">
        <v>60</v>
      </c>
      <c r="H121" s="173" t="s">
        <v>567</v>
      </c>
      <c r="I121" s="182">
        <f>49920*107%</f>
        <v>53414.400000000001</v>
      </c>
      <c r="J121" s="170">
        <v>12</v>
      </c>
      <c r="K121" s="174">
        <f t="shared" si="2"/>
        <v>267072</v>
      </c>
      <c r="L121" s="178" t="s">
        <v>575</v>
      </c>
    </row>
    <row r="122" spans="2:17" s="243" customFormat="1" x14ac:dyDescent="0.3">
      <c r="B122" s="249"/>
      <c r="C122" s="250"/>
      <c r="D122" s="250"/>
      <c r="E122" s="250"/>
      <c r="F122" s="250"/>
      <c r="G122" s="250"/>
      <c r="H122" s="250"/>
      <c r="I122" s="251"/>
      <c r="J122" s="252"/>
      <c r="K122" s="251">
        <f>SUM(K9:K121)</f>
        <v>180242286.65799993</v>
      </c>
      <c r="L122" s="253"/>
      <c r="M122" s="318">
        <f>K122/107%</f>
        <v>168450735.19439244</v>
      </c>
      <c r="N122" s="255"/>
      <c r="O122" s="255"/>
      <c r="P122" s="255"/>
      <c r="Q122" s="255"/>
    </row>
    <row r="123" spans="2:17" s="284" customFormat="1" x14ac:dyDescent="0.3">
      <c r="I123" s="285"/>
      <c r="J123" s="285"/>
      <c r="K123" s="288"/>
      <c r="L123" s="287"/>
      <c r="N123" s="286"/>
    </row>
    <row r="124" spans="2:17" x14ac:dyDescent="0.3">
      <c r="B124" s="358" t="s">
        <v>285</v>
      </c>
      <c r="C124" s="359"/>
      <c r="D124" s="359"/>
      <c r="E124" s="359"/>
      <c r="F124" s="359"/>
      <c r="G124" s="359"/>
      <c r="H124" s="359"/>
      <c r="I124" s="359"/>
      <c r="J124" s="359"/>
      <c r="K124" s="359"/>
      <c r="L124" s="360"/>
      <c r="N124" s="245"/>
    </row>
    <row r="125" spans="2:17" ht="15" thickBot="1" x14ac:dyDescent="0.35">
      <c r="B125" s="185" t="s">
        <v>133</v>
      </c>
      <c r="C125" s="185" t="s">
        <v>134</v>
      </c>
      <c r="D125" s="185" t="s">
        <v>134</v>
      </c>
      <c r="E125" s="361" t="s">
        <v>135</v>
      </c>
      <c r="F125" s="361"/>
      <c r="G125" s="361" t="s">
        <v>135</v>
      </c>
      <c r="H125" s="361"/>
      <c r="I125" s="169"/>
      <c r="J125" s="185" t="s">
        <v>137</v>
      </c>
      <c r="K125" s="169"/>
      <c r="L125" s="185" t="s">
        <v>138</v>
      </c>
    </row>
    <row r="126" spans="2:17" ht="15" thickTop="1" x14ac:dyDescent="0.3">
      <c r="B126" s="170">
        <v>1</v>
      </c>
      <c r="C126" s="171" t="s">
        <v>286</v>
      </c>
      <c r="D126" s="276" t="s">
        <v>286</v>
      </c>
      <c r="E126" s="172">
        <v>1</v>
      </c>
      <c r="F126" s="173" t="s">
        <v>140</v>
      </c>
      <c r="G126" s="281">
        <v>1</v>
      </c>
      <c r="H126" s="173" t="s">
        <v>140</v>
      </c>
      <c r="I126" s="175">
        <f>2640000*107%</f>
        <v>2824800</v>
      </c>
      <c r="J126" s="170">
        <v>12</v>
      </c>
      <c r="K126" s="174">
        <f t="shared" ref="K126:K139" si="3">(I126*G126)/J126</f>
        <v>235400</v>
      </c>
      <c r="L126" s="178"/>
      <c r="M126" s="245">
        <f>K126/107%</f>
        <v>220000</v>
      </c>
    </row>
    <row r="127" spans="2:17" x14ac:dyDescent="0.3">
      <c r="B127" s="170">
        <v>2</v>
      </c>
      <c r="C127" s="279" t="s">
        <v>287</v>
      </c>
      <c r="D127" s="283" t="s">
        <v>287</v>
      </c>
      <c r="E127" s="277">
        <v>1</v>
      </c>
      <c r="F127" s="278" t="s">
        <v>140</v>
      </c>
      <c r="G127" s="280"/>
      <c r="H127" s="173"/>
      <c r="I127" s="282"/>
      <c r="J127" s="170">
        <v>12</v>
      </c>
      <c r="K127" s="179">
        <f t="shared" si="3"/>
        <v>0</v>
      </c>
      <c r="L127" s="178" t="s">
        <v>141</v>
      </c>
      <c r="M127" s="245">
        <f t="shared" ref="M127:M139" si="4">K127/107%</f>
        <v>0</v>
      </c>
    </row>
    <row r="128" spans="2:17" x14ac:dyDescent="0.3">
      <c r="B128" s="170">
        <v>3</v>
      </c>
      <c r="C128" s="279" t="s">
        <v>288</v>
      </c>
      <c r="D128" s="283" t="s">
        <v>288</v>
      </c>
      <c r="E128" s="277">
        <v>2</v>
      </c>
      <c r="F128" s="278" t="s">
        <v>140</v>
      </c>
      <c r="G128" s="170"/>
      <c r="H128" s="173"/>
      <c r="I128" s="282"/>
      <c r="J128" s="170">
        <v>12</v>
      </c>
      <c r="K128" s="179">
        <f t="shared" si="3"/>
        <v>0</v>
      </c>
      <c r="L128" s="178" t="s">
        <v>141</v>
      </c>
      <c r="M128" s="245">
        <f t="shared" si="4"/>
        <v>0</v>
      </c>
    </row>
    <row r="129" spans="2:19" x14ac:dyDescent="0.3">
      <c r="B129" s="170">
        <v>4</v>
      </c>
      <c r="C129" s="279" t="s">
        <v>157</v>
      </c>
      <c r="D129" s="283" t="s">
        <v>157</v>
      </c>
      <c r="E129" s="172">
        <v>12</v>
      </c>
      <c r="F129" s="173" t="s">
        <v>140</v>
      </c>
      <c r="G129" s="170"/>
      <c r="H129" s="173"/>
      <c r="I129" s="282"/>
      <c r="J129" s="170">
        <v>12</v>
      </c>
      <c r="K129" s="179">
        <f t="shared" si="3"/>
        <v>0</v>
      </c>
      <c r="L129" s="178"/>
      <c r="M129" s="245">
        <f t="shared" si="4"/>
        <v>0</v>
      </c>
    </row>
    <row r="130" spans="2:19" x14ac:dyDescent="0.3">
      <c r="B130" s="170">
        <v>5</v>
      </c>
      <c r="C130" s="279" t="s">
        <v>158</v>
      </c>
      <c r="D130" s="283" t="s">
        <v>158</v>
      </c>
      <c r="E130" s="172">
        <v>4</v>
      </c>
      <c r="F130" s="173" t="s">
        <v>140</v>
      </c>
      <c r="G130" s="170"/>
      <c r="H130" s="173"/>
      <c r="I130" s="282"/>
      <c r="J130" s="170">
        <v>12</v>
      </c>
      <c r="K130" s="179">
        <f t="shared" si="3"/>
        <v>0</v>
      </c>
      <c r="L130" s="178"/>
      <c r="M130" s="245">
        <f t="shared" si="4"/>
        <v>0</v>
      </c>
    </row>
    <row r="131" spans="2:19" x14ac:dyDescent="0.3">
      <c r="B131" s="170">
        <v>6</v>
      </c>
      <c r="C131" s="279" t="s">
        <v>191</v>
      </c>
      <c r="D131" s="283" t="s">
        <v>191</v>
      </c>
      <c r="E131" s="172">
        <v>66</v>
      </c>
      <c r="F131" s="173" t="s">
        <v>140</v>
      </c>
      <c r="G131" s="170"/>
      <c r="H131" s="173"/>
      <c r="I131" s="282"/>
      <c r="J131" s="170">
        <v>12</v>
      </c>
      <c r="K131" s="179">
        <f t="shared" si="3"/>
        <v>0</v>
      </c>
      <c r="L131" s="178"/>
      <c r="M131" s="245">
        <f t="shared" si="4"/>
        <v>0</v>
      </c>
    </row>
    <row r="132" spans="2:19" x14ac:dyDescent="0.3">
      <c r="B132" s="170">
        <v>7</v>
      </c>
      <c r="C132" s="279" t="s">
        <v>199</v>
      </c>
      <c r="D132" s="283" t="s">
        <v>199</v>
      </c>
      <c r="E132" s="172">
        <v>12</v>
      </c>
      <c r="F132" s="173" t="s">
        <v>140</v>
      </c>
      <c r="G132" s="170"/>
      <c r="H132" s="173"/>
      <c r="I132" s="282"/>
      <c r="J132" s="170">
        <v>12</v>
      </c>
      <c r="K132" s="179">
        <f t="shared" si="3"/>
        <v>0</v>
      </c>
      <c r="L132" s="178"/>
      <c r="M132" s="245">
        <f t="shared" si="4"/>
        <v>0</v>
      </c>
    </row>
    <row r="133" spans="2:19" x14ac:dyDescent="0.3">
      <c r="B133" s="170">
        <v>8</v>
      </c>
      <c r="C133" s="279" t="s">
        <v>229</v>
      </c>
      <c r="D133" s="283" t="s">
        <v>229</v>
      </c>
      <c r="E133" s="172">
        <v>50</v>
      </c>
      <c r="F133" s="173" t="s">
        <v>140</v>
      </c>
      <c r="G133" s="280"/>
      <c r="H133" s="280"/>
      <c r="I133" s="282"/>
      <c r="J133" s="170">
        <v>12</v>
      </c>
      <c r="K133" s="179">
        <f t="shared" si="3"/>
        <v>0</v>
      </c>
      <c r="L133" s="178"/>
      <c r="M133" s="245">
        <f t="shared" si="4"/>
        <v>0</v>
      </c>
    </row>
    <row r="134" spans="2:19" x14ac:dyDescent="0.3">
      <c r="B134" s="170">
        <v>9</v>
      </c>
      <c r="C134" s="279" t="s">
        <v>232</v>
      </c>
      <c r="D134" s="283" t="s">
        <v>232</v>
      </c>
      <c r="E134" s="172">
        <v>6</v>
      </c>
      <c r="F134" s="173" t="s">
        <v>140</v>
      </c>
      <c r="G134" s="280"/>
      <c r="H134" s="280"/>
      <c r="I134" s="282"/>
      <c r="J134" s="170">
        <v>12</v>
      </c>
      <c r="K134" s="179">
        <f t="shared" si="3"/>
        <v>0</v>
      </c>
      <c r="L134" s="178"/>
      <c r="M134" s="245">
        <f t="shared" si="4"/>
        <v>0</v>
      </c>
    </row>
    <row r="135" spans="2:19" x14ac:dyDescent="0.3">
      <c r="B135" s="170">
        <v>10</v>
      </c>
      <c r="C135" s="279" t="s">
        <v>233</v>
      </c>
      <c r="D135" s="283" t="s">
        <v>233</v>
      </c>
      <c r="E135" s="172">
        <v>10</v>
      </c>
      <c r="F135" s="173" t="s">
        <v>140</v>
      </c>
      <c r="G135" s="280"/>
      <c r="H135" s="280"/>
      <c r="I135" s="282"/>
      <c r="J135" s="170">
        <v>12</v>
      </c>
      <c r="K135" s="179">
        <f t="shared" si="3"/>
        <v>0</v>
      </c>
      <c r="L135" s="178"/>
      <c r="M135" s="245">
        <f t="shared" si="4"/>
        <v>0</v>
      </c>
    </row>
    <row r="136" spans="2:19" x14ac:dyDescent="0.3">
      <c r="B136" s="170">
        <v>11</v>
      </c>
      <c r="C136" s="279" t="s">
        <v>289</v>
      </c>
      <c r="D136" s="283" t="s">
        <v>289</v>
      </c>
      <c r="E136" s="172">
        <v>8</v>
      </c>
      <c r="F136" s="173" t="s">
        <v>140</v>
      </c>
      <c r="G136" s="280"/>
      <c r="H136" s="280"/>
      <c r="I136" s="282"/>
      <c r="J136" s="170">
        <v>12</v>
      </c>
      <c r="K136" s="179">
        <f t="shared" si="3"/>
        <v>0</v>
      </c>
      <c r="L136" s="178"/>
      <c r="M136" s="245">
        <f t="shared" si="4"/>
        <v>0</v>
      </c>
    </row>
    <row r="137" spans="2:19" x14ac:dyDescent="0.3">
      <c r="B137" s="170">
        <v>12</v>
      </c>
      <c r="C137" s="171" t="s">
        <v>256</v>
      </c>
      <c r="D137" s="276" t="s">
        <v>256</v>
      </c>
      <c r="E137" s="172">
        <v>360</v>
      </c>
      <c r="F137" s="173" t="s">
        <v>140</v>
      </c>
      <c r="G137" s="280">
        <v>2160</v>
      </c>
      <c r="H137" s="280" t="s">
        <v>572</v>
      </c>
      <c r="I137" s="183">
        <f>12800*107%</f>
        <v>13696</v>
      </c>
      <c r="J137" s="170">
        <v>12</v>
      </c>
      <c r="K137" s="174">
        <f t="shared" si="3"/>
        <v>2465280</v>
      </c>
      <c r="L137" s="178"/>
      <c r="M137" s="245">
        <f t="shared" si="4"/>
        <v>2304000</v>
      </c>
    </row>
    <row r="138" spans="2:19" x14ac:dyDescent="0.3">
      <c r="B138" s="170">
        <v>13</v>
      </c>
      <c r="C138" s="171" t="s">
        <v>257</v>
      </c>
      <c r="D138" s="276" t="s">
        <v>257</v>
      </c>
      <c r="E138" s="172">
        <v>22</v>
      </c>
      <c r="F138" s="173" t="s">
        <v>140</v>
      </c>
      <c r="G138" s="280">
        <v>60</v>
      </c>
      <c r="H138" s="280" t="s">
        <v>572</v>
      </c>
      <c r="I138" s="183">
        <f>26270.4*107%</f>
        <v>28109.328000000005</v>
      </c>
      <c r="J138" s="170">
        <v>12</v>
      </c>
      <c r="K138" s="174">
        <f t="shared" si="3"/>
        <v>140546.64000000004</v>
      </c>
      <c r="L138" s="178"/>
      <c r="M138" s="245">
        <f t="shared" si="4"/>
        <v>131352.00000000003</v>
      </c>
    </row>
    <row r="139" spans="2:19" x14ac:dyDescent="0.3">
      <c r="B139" s="170">
        <v>14</v>
      </c>
      <c r="C139" s="171"/>
      <c r="D139" s="283" t="s">
        <v>576</v>
      </c>
      <c r="E139" s="172">
        <v>8</v>
      </c>
      <c r="F139" s="173" t="s">
        <v>140</v>
      </c>
      <c r="G139" s="280">
        <v>1560</v>
      </c>
      <c r="H139" s="280" t="s">
        <v>567</v>
      </c>
      <c r="I139" s="183">
        <f>7200*107%</f>
        <v>7704</v>
      </c>
      <c r="J139" s="170">
        <v>12</v>
      </c>
      <c r="K139" s="174">
        <f t="shared" si="3"/>
        <v>1001520</v>
      </c>
      <c r="L139" s="178"/>
      <c r="M139" s="245">
        <f t="shared" si="4"/>
        <v>936000</v>
      </c>
      <c r="O139" s="243" t="s">
        <v>290</v>
      </c>
      <c r="P139" s="243"/>
      <c r="Q139" s="243"/>
    </row>
    <row r="140" spans="2:19" x14ac:dyDescent="0.3">
      <c r="B140" s="170">
        <v>15</v>
      </c>
      <c r="C140" s="171" t="s">
        <v>290</v>
      </c>
      <c r="D140" s="276" t="s">
        <v>290</v>
      </c>
      <c r="E140" s="172">
        <v>12</v>
      </c>
      <c r="F140" s="173" t="s">
        <v>140</v>
      </c>
      <c r="G140" s="280">
        <v>12</v>
      </c>
      <c r="H140" s="280" t="s">
        <v>140</v>
      </c>
      <c r="I140" s="282">
        <f>38520000*107%</f>
        <v>41216400</v>
      </c>
      <c r="J140" s="170">
        <v>12</v>
      </c>
      <c r="K140" s="174">
        <f>(I140*G140)/J140</f>
        <v>41216400</v>
      </c>
      <c r="L140" s="178"/>
      <c r="M140" s="310">
        <f>K140/115%</f>
        <v>35840347.826086961</v>
      </c>
      <c r="O140" s="314" t="s">
        <v>612</v>
      </c>
      <c r="P140" s="314" t="s">
        <v>608</v>
      </c>
      <c r="Q140" s="314" t="s">
        <v>611</v>
      </c>
      <c r="R140" s="315" t="s">
        <v>609</v>
      </c>
    </row>
    <row r="141" spans="2:19" s="243" customFormat="1" x14ac:dyDescent="0.3">
      <c r="B141" s="249"/>
      <c r="C141" s="250"/>
      <c r="D141" s="250"/>
      <c r="E141" s="250"/>
      <c r="F141" s="250"/>
      <c r="G141" s="250"/>
      <c r="H141" s="250"/>
      <c r="I141" s="251"/>
      <c r="J141" s="252"/>
      <c r="K141" s="251">
        <f>SUM(K126:K140)</f>
        <v>45059146.640000001</v>
      </c>
      <c r="L141" s="253"/>
      <c r="M141" s="318">
        <f>SUM(M126:M140)</f>
        <v>39431699.826086961</v>
      </c>
      <c r="O141" s="312" t="s">
        <v>610</v>
      </c>
      <c r="P141" s="219">
        <f>M140</f>
        <v>35840347.826086961</v>
      </c>
      <c r="Q141" s="219">
        <v>20000000</v>
      </c>
      <c r="R141" s="219">
        <f>P141-Q141</f>
        <v>15840347.826086961</v>
      </c>
    </row>
    <row r="142" spans="2:19" s="284" customFormat="1" x14ac:dyDescent="0.3">
      <c r="I142" s="285"/>
      <c r="J142" s="285"/>
      <c r="K142" s="286"/>
      <c r="L142" s="287"/>
      <c r="M142" s="311">
        <f>M140</f>
        <v>35840347.826086961</v>
      </c>
      <c r="O142" s="312" t="s">
        <v>614</v>
      </c>
      <c r="P142" s="313">
        <f>P141*9</f>
        <v>322563130.43478262</v>
      </c>
      <c r="Q142" s="313">
        <f>Q141*9</f>
        <v>180000000</v>
      </c>
      <c r="R142" s="317">
        <f>R141*9</f>
        <v>142563130.43478265</v>
      </c>
      <c r="S142" s="316" t="s">
        <v>613</v>
      </c>
    </row>
    <row r="143" spans="2:19" x14ac:dyDescent="0.3">
      <c r="B143" s="358" t="s">
        <v>291</v>
      </c>
      <c r="C143" s="359"/>
      <c r="D143" s="359"/>
      <c r="E143" s="359"/>
      <c r="F143" s="359"/>
      <c r="G143" s="359"/>
      <c r="H143" s="359"/>
      <c r="I143" s="359"/>
      <c r="J143" s="359"/>
      <c r="K143" s="359"/>
      <c r="L143" s="359"/>
      <c r="M143" s="310">
        <f>K140-M140</f>
        <v>5376052.1739130393</v>
      </c>
      <c r="O143" s="322"/>
    </row>
    <row r="144" spans="2:19" ht="15" thickBot="1" x14ac:dyDescent="0.35">
      <c r="B144" s="185" t="s">
        <v>133</v>
      </c>
      <c r="C144" s="185" t="s">
        <v>134</v>
      </c>
      <c r="D144" s="185" t="s">
        <v>134</v>
      </c>
      <c r="E144" s="361" t="s">
        <v>135</v>
      </c>
      <c r="F144" s="361"/>
      <c r="G144" s="361" t="s">
        <v>135</v>
      </c>
      <c r="H144" s="361"/>
      <c r="I144" s="169"/>
      <c r="J144" s="185" t="s">
        <v>137</v>
      </c>
      <c r="K144" s="169"/>
      <c r="L144" s="185" t="s">
        <v>138</v>
      </c>
    </row>
    <row r="145" spans="2:13" ht="15" thickTop="1" x14ac:dyDescent="0.3">
      <c r="B145" s="170">
        <v>1</v>
      </c>
      <c r="C145" s="279" t="s">
        <v>292</v>
      </c>
      <c r="D145" s="181" t="s">
        <v>292</v>
      </c>
      <c r="E145" s="172">
        <v>690</v>
      </c>
      <c r="F145" s="173" t="s">
        <v>140</v>
      </c>
      <c r="G145" s="173"/>
      <c r="H145" s="173"/>
      <c r="I145" s="183">
        <v>0</v>
      </c>
      <c r="J145" s="170">
        <v>0</v>
      </c>
      <c r="K145" s="179">
        <v>0</v>
      </c>
      <c r="L145" s="178" t="s">
        <v>141</v>
      </c>
    </row>
    <row r="146" spans="2:13" x14ac:dyDescent="0.3">
      <c r="B146" s="170">
        <v>2</v>
      </c>
      <c r="C146" s="279" t="s">
        <v>293</v>
      </c>
      <c r="D146" s="181" t="s">
        <v>293</v>
      </c>
      <c r="E146" s="172">
        <v>153</v>
      </c>
      <c r="F146" s="173" t="s">
        <v>140</v>
      </c>
      <c r="G146" s="173"/>
      <c r="H146" s="173"/>
      <c r="I146" s="183">
        <v>0</v>
      </c>
      <c r="J146" s="170">
        <v>0</v>
      </c>
      <c r="K146" s="179">
        <v>0</v>
      </c>
      <c r="L146" s="178" t="s">
        <v>141</v>
      </c>
    </row>
    <row r="147" spans="2:13" x14ac:dyDescent="0.3">
      <c r="B147" s="170">
        <v>3</v>
      </c>
      <c r="C147" s="279" t="s">
        <v>294</v>
      </c>
      <c r="D147" s="181" t="s">
        <v>294</v>
      </c>
      <c r="E147" s="172">
        <v>185</v>
      </c>
      <c r="F147" s="173" t="s">
        <v>140</v>
      </c>
      <c r="G147" s="173"/>
      <c r="H147" s="173"/>
      <c r="I147" s="183">
        <v>0</v>
      </c>
      <c r="J147" s="170">
        <v>0</v>
      </c>
      <c r="K147" s="179">
        <v>0</v>
      </c>
      <c r="L147" s="178" t="s">
        <v>141</v>
      </c>
    </row>
    <row r="148" spans="2:13" x14ac:dyDescent="0.3">
      <c r="B148" s="170">
        <v>4</v>
      </c>
      <c r="C148" s="279" t="s">
        <v>295</v>
      </c>
      <c r="D148" s="181" t="s">
        <v>295</v>
      </c>
      <c r="E148" s="172">
        <v>16</v>
      </c>
      <c r="F148" s="173" t="s">
        <v>140</v>
      </c>
      <c r="G148" s="173"/>
      <c r="H148" s="173"/>
      <c r="I148" s="183">
        <v>0</v>
      </c>
      <c r="J148" s="170">
        <v>0</v>
      </c>
      <c r="K148" s="179">
        <v>0</v>
      </c>
      <c r="L148" s="178" t="s">
        <v>141</v>
      </c>
    </row>
    <row r="149" spans="2:13" x14ac:dyDescent="0.3">
      <c r="B149" s="170">
        <v>5</v>
      </c>
      <c r="C149" s="279" t="s">
        <v>200</v>
      </c>
      <c r="D149" s="181" t="s">
        <v>200</v>
      </c>
      <c r="E149" s="172">
        <v>62</v>
      </c>
      <c r="F149" s="173" t="s">
        <v>140</v>
      </c>
      <c r="G149" s="173"/>
      <c r="H149" s="173"/>
      <c r="I149" s="183">
        <v>0</v>
      </c>
      <c r="J149" s="170">
        <v>0</v>
      </c>
      <c r="K149" s="179">
        <v>0</v>
      </c>
      <c r="L149" s="178" t="s">
        <v>141</v>
      </c>
    </row>
    <row r="150" spans="2:13" x14ac:dyDescent="0.3">
      <c r="B150" s="170">
        <v>6</v>
      </c>
      <c r="C150" s="279" t="s">
        <v>201</v>
      </c>
      <c r="D150" s="181" t="s">
        <v>201</v>
      </c>
      <c r="E150" s="172">
        <v>57</v>
      </c>
      <c r="F150" s="173" t="s">
        <v>140</v>
      </c>
      <c r="G150" s="173"/>
      <c r="H150" s="173"/>
      <c r="I150" s="183">
        <v>0</v>
      </c>
      <c r="J150" s="170">
        <v>0</v>
      </c>
      <c r="K150" s="179">
        <v>0</v>
      </c>
      <c r="L150" s="178" t="s">
        <v>141</v>
      </c>
    </row>
    <row r="151" spans="2:13" x14ac:dyDescent="0.3">
      <c r="B151" s="170">
        <v>7</v>
      </c>
      <c r="C151" s="171" t="s">
        <v>202</v>
      </c>
      <c r="D151" s="171" t="s">
        <v>202</v>
      </c>
      <c r="E151" s="172">
        <v>34</v>
      </c>
      <c r="F151" s="173" t="s">
        <v>140</v>
      </c>
      <c r="G151" s="173">
        <f>E151</f>
        <v>34</v>
      </c>
      <c r="H151" s="173" t="s">
        <v>569</v>
      </c>
      <c r="I151" s="174">
        <f>396000*107%</f>
        <v>423720</v>
      </c>
      <c r="J151" s="170">
        <v>12</v>
      </c>
      <c r="K151" s="174">
        <f t="shared" ref="K151:K156" si="5">(I151*G151)/J151</f>
        <v>1200540</v>
      </c>
      <c r="L151" s="178" t="s">
        <v>574</v>
      </c>
    </row>
    <row r="152" spans="2:13" x14ac:dyDescent="0.3">
      <c r="B152" s="170">
        <v>8</v>
      </c>
      <c r="C152" s="171" t="s">
        <v>296</v>
      </c>
      <c r="D152" s="171" t="s">
        <v>296</v>
      </c>
      <c r="E152" s="172">
        <v>144</v>
      </c>
      <c r="F152" s="173" t="s">
        <v>140</v>
      </c>
      <c r="G152" s="173">
        <v>96</v>
      </c>
      <c r="H152" s="173" t="s">
        <v>569</v>
      </c>
      <c r="I152" s="174">
        <f>91000*107%</f>
        <v>97370</v>
      </c>
      <c r="J152" s="170">
        <v>12</v>
      </c>
      <c r="K152" s="174">
        <f t="shared" si="5"/>
        <v>778960</v>
      </c>
      <c r="L152" s="178" t="s">
        <v>574</v>
      </c>
    </row>
    <row r="153" spans="2:13" x14ac:dyDescent="0.3">
      <c r="B153" s="170">
        <v>9</v>
      </c>
      <c r="C153" s="171" t="s">
        <v>297</v>
      </c>
      <c r="D153" s="181" t="s">
        <v>297</v>
      </c>
      <c r="E153" s="172">
        <v>120</v>
      </c>
      <c r="F153" s="173" t="s">
        <v>140</v>
      </c>
      <c r="G153" s="173">
        <v>144</v>
      </c>
      <c r="H153" s="173" t="s">
        <v>567</v>
      </c>
      <c r="I153" s="174">
        <f>210000*107%</f>
        <v>224700</v>
      </c>
      <c r="J153" s="170">
        <v>12</v>
      </c>
      <c r="K153" s="174">
        <f t="shared" si="5"/>
        <v>2696400</v>
      </c>
      <c r="L153" s="178" t="s">
        <v>574</v>
      </c>
    </row>
    <row r="154" spans="2:13" x14ac:dyDescent="0.3">
      <c r="B154" s="170">
        <v>10</v>
      </c>
      <c r="C154" s="171" t="s">
        <v>298</v>
      </c>
      <c r="D154" s="171" t="s">
        <v>298</v>
      </c>
      <c r="E154" s="172">
        <v>1440</v>
      </c>
      <c r="F154" s="173" t="s">
        <v>140</v>
      </c>
      <c r="G154" s="173">
        <v>900</v>
      </c>
      <c r="H154" s="173" t="s">
        <v>577</v>
      </c>
      <c r="I154" s="174">
        <f>18000*107%</f>
        <v>19260</v>
      </c>
      <c r="J154" s="170">
        <v>12</v>
      </c>
      <c r="K154" s="174">
        <f t="shared" si="5"/>
        <v>1444500</v>
      </c>
      <c r="L154" s="178" t="s">
        <v>574</v>
      </c>
    </row>
    <row r="155" spans="2:13" x14ac:dyDescent="0.3">
      <c r="B155" s="170">
        <v>11</v>
      </c>
      <c r="C155" s="171" t="s">
        <v>299</v>
      </c>
      <c r="D155" s="171" t="s">
        <v>299</v>
      </c>
      <c r="E155" s="172">
        <v>720</v>
      </c>
      <c r="F155" s="173" t="s">
        <v>140</v>
      </c>
      <c r="G155" s="173">
        <v>420</v>
      </c>
      <c r="H155" s="173" t="s">
        <v>577</v>
      </c>
      <c r="I155" s="174">
        <f>16800*107%</f>
        <v>17976</v>
      </c>
      <c r="J155" s="170">
        <v>12</v>
      </c>
      <c r="K155" s="174">
        <f t="shared" si="5"/>
        <v>629160</v>
      </c>
      <c r="L155" s="178" t="s">
        <v>574</v>
      </c>
    </row>
    <row r="156" spans="2:13" x14ac:dyDescent="0.3">
      <c r="B156" s="170">
        <v>12</v>
      </c>
      <c r="C156" s="279" t="s">
        <v>300</v>
      </c>
      <c r="D156" s="181" t="s">
        <v>300</v>
      </c>
      <c r="E156" s="172">
        <v>0</v>
      </c>
      <c r="F156" s="173" t="s">
        <v>140</v>
      </c>
      <c r="G156" s="173"/>
      <c r="H156" s="173"/>
      <c r="I156" s="182"/>
      <c r="J156" s="170">
        <v>12</v>
      </c>
      <c r="K156" s="179">
        <f t="shared" si="5"/>
        <v>0</v>
      </c>
      <c r="L156" s="178" t="s">
        <v>301</v>
      </c>
    </row>
    <row r="157" spans="2:13" s="243" customFormat="1" x14ac:dyDescent="0.3">
      <c r="B157" s="249"/>
      <c r="C157" s="250"/>
      <c r="D157" s="250"/>
      <c r="E157" s="250"/>
      <c r="F157" s="250"/>
      <c r="G157" s="250"/>
      <c r="H157" s="250"/>
      <c r="I157" s="251"/>
      <c r="J157" s="252"/>
      <c r="K157" s="251">
        <f>SUM(K145:K156)</f>
        <v>6749560</v>
      </c>
      <c r="L157" s="253"/>
      <c r="M157" s="318">
        <f>K157/107%</f>
        <v>6308000</v>
      </c>
    </row>
    <row r="158" spans="2:13" s="284" customFormat="1" x14ac:dyDescent="0.3">
      <c r="I158" s="285"/>
      <c r="J158" s="285"/>
      <c r="K158" s="286"/>
      <c r="L158" s="287"/>
    </row>
    <row r="159" spans="2:13" x14ac:dyDescent="0.3">
      <c r="B159" s="358" t="s">
        <v>302</v>
      </c>
      <c r="C159" s="359"/>
      <c r="D159" s="359"/>
      <c r="E159" s="359"/>
      <c r="F159" s="359"/>
      <c r="G159" s="359"/>
      <c r="H159" s="359"/>
      <c r="I159" s="359"/>
      <c r="J159" s="359"/>
      <c r="K159" s="359"/>
      <c r="L159" s="360"/>
    </row>
    <row r="160" spans="2:13" ht="15" thickBot="1" x14ac:dyDescent="0.35">
      <c r="B160" s="185" t="s">
        <v>133</v>
      </c>
      <c r="C160" s="185" t="s">
        <v>134</v>
      </c>
      <c r="D160" s="185"/>
      <c r="E160" s="361" t="s">
        <v>135</v>
      </c>
      <c r="F160" s="361"/>
      <c r="G160" s="185"/>
      <c r="H160" s="185"/>
      <c r="I160" s="169"/>
      <c r="J160" s="185" t="s">
        <v>137</v>
      </c>
      <c r="K160" s="169"/>
      <c r="L160" s="185" t="s">
        <v>138</v>
      </c>
    </row>
    <row r="161" spans="2:12" ht="15" thickTop="1" x14ac:dyDescent="0.3">
      <c r="B161" s="170">
        <v>1</v>
      </c>
      <c r="C161" s="171" t="s">
        <v>161</v>
      </c>
      <c r="D161" s="171" t="s">
        <v>161</v>
      </c>
      <c r="E161" s="172">
        <v>12</v>
      </c>
      <c r="F161" s="173" t="s">
        <v>140</v>
      </c>
      <c r="G161" s="173">
        <v>24</v>
      </c>
      <c r="H161" s="173" t="s">
        <v>567</v>
      </c>
      <c r="I161" s="183">
        <f>37968.7*107%</f>
        <v>40626.508999999998</v>
      </c>
      <c r="J161" s="170">
        <v>12</v>
      </c>
      <c r="K161" s="174">
        <f t="shared" ref="K161:K172" si="6">(I161*G161)/J161</f>
        <v>81253.017999999996</v>
      </c>
      <c r="L161" s="178" t="s">
        <v>574</v>
      </c>
    </row>
    <row r="162" spans="2:12" x14ac:dyDescent="0.3">
      <c r="B162" s="170">
        <v>2</v>
      </c>
      <c r="C162" s="171" t="s">
        <v>168</v>
      </c>
      <c r="D162" s="171" t="s">
        <v>168</v>
      </c>
      <c r="E162" s="172">
        <v>18</v>
      </c>
      <c r="F162" s="173" t="s">
        <v>140</v>
      </c>
      <c r="G162" s="173">
        <v>24</v>
      </c>
      <c r="H162" s="173" t="s">
        <v>570</v>
      </c>
      <c r="I162" s="183">
        <f>296000*107%</f>
        <v>316720</v>
      </c>
      <c r="J162" s="170">
        <v>12</v>
      </c>
      <c r="K162" s="174">
        <f t="shared" si="6"/>
        <v>633440</v>
      </c>
      <c r="L162" s="178" t="s">
        <v>574</v>
      </c>
    </row>
    <row r="163" spans="2:12" x14ac:dyDescent="0.3">
      <c r="B163" s="170">
        <v>3</v>
      </c>
      <c r="C163" s="171" t="s">
        <v>171</v>
      </c>
      <c r="D163" s="171" t="s">
        <v>171</v>
      </c>
      <c r="E163" s="172">
        <v>32</v>
      </c>
      <c r="F163" s="173" t="s">
        <v>140</v>
      </c>
      <c r="G163" s="173">
        <v>96</v>
      </c>
      <c r="H163" s="173" t="s">
        <v>567</v>
      </c>
      <c r="I163" s="183">
        <f>38000*107%</f>
        <v>40660</v>
      </c>
      <c r="J163" s="170">
        <v>12</v>
      </c>
      <c r="K163" s="174">
        <f t="shared" si="6"/>
        <v>325280</v>
      </c>
      <c r="L163" s="178" t="s">
        <v>574</v>
      </c>
    </row>
    <row r="164" spans="2:12" x14ac:dyDescent="0.3">
      <c r="B164" s="170">
        <v>4</v>
      </c>
      <c r="C164" s="171" t="s">
        <v>174</v>
      </c>
      <c r="D164" s="171" t="s">
        <v>174</v>
      </c>
      <c r="E164" s="172">
        <v>95</v>
      </c>
      <c r="F164" s="173" t="s">
        <v>140</v>
      </c>
      <c r="G164" s="173">
        <v>96</v>
      </c>
      <c r="H164" s="173" t="s">
        <v>567</v>
      </c>
      <c r="I164" s="183">
        <f>56757.4*107%</f>
        <v>60730.418000000005</v>
      </c>
      <c r="J164" s="170">
        <v>12</v>
      </c>
      <c r="K164" s="174">
        <f t="shared" si="6"/>
        <v>485843.34400000004</v>
      </c>
      <c r="L164" s="178" t="s">
        <v>574</v>
      </c>
    </row>
    <row r="165" spans="2:12" x14ac:dyDescent="0.3">
      <c r="B165" s="170">
        <v>5</v>
      </c>
      <c r="C165" s="171" t="s">
        <v>181</v>
      </c>
      <c r="D165" s="171" t="s">
        <v>181</v>
      </c>
      <c r="E165" s="172">
        <v>100</v>
      </c>
      <c r="F165" s="173" t="s">
        <v>140</v>
      </c>
      <c r="G165" s="173">
        <v>120</v>
      </c>
      <c r="H165" s="173" t="s">
        <v>567</v>
      </c>
      <c r="I165" s="183">
        <f>26013.9*107%</f>
        <v>27834.873000000003</v>
      </c>
      <c r="J165" s="170">
        <v>12</v>
      </c>
      <c r="K165" s="174">
        <f t="shared" si="6"/>
        <v>278348.73000000004</v>
      </c>
      <c r="L165" s="178" t="s">
        <v>574</v>
      </c>
    </row>
    <row r="166" spans="2:12" x14ac:dyDescent="0.3">
      <c r="B166" s="170">
        <v>6</v>
      </c>
      <c r="C166" s="171" t="s">
        <v>209</v>
      </c>
      <c r="D166" s="171" t="s">
        <v>209</v>
      </c>
      <c r="E166" s="172">
        <v>58</v>
      </c>
      <c r="F166" s="173" t="s">
        <v>140</v>
      </c>
      <c r="G166" s="173">
        <v>120</v>
      </c>
      <c r="H166" s="173" t="s">
        <v>566</v>
      </c>
      <c r="I166" s="183">
        <f>66720*107%</f>
        <v>71390.400000000009</v>
      </c>
      <c r="J166" s="170">
        <v>12</v>
      </c>
      <c r="K166" s="174">
        <f t="shared" si="6"/>
        <v>713904.00000000012</v>
      </c>
      <c r="L166" s="178" t="s">
        <v>574</v>
      </c>
    </row>
    <row r="167" spans="2:12" x14ac:dyDescent="0.3">
      <c r="B167" s="170">
        <v>7</v>
      </c>
      <c r="C167" s="171" t="s">
        <v>210</v>
      </c>
      <c r="D167" s="171" t="s">
        <v>210</v>
      </c>
      <c r="E167" s="172">
        <v>50</v>
      </c>
      <c r="F167" s="173" t="s">
        <v>140</v>
      </c>
      <c r="G167" s="173">
        <v>120</v>
      </c>
      <c r="H167" s="173" t="s">
        <v>569</v>
      </c>
      <c r="I167" s="183">
        <f>32500*107%</f>
        <v>34775</v>
      </c>
      <c r="J167" s="170">
        <v>12</v>
      </c>
      <c r="K167" s="174">
        <f t="shared" si="6"/>
        <v>347750</v>
      </c>
      <c r="L167" s="178" t="s">
        <v>574</v>
      </c>
    </row>
    <row r="168" spans="2:12" x14ac:dyDescent="0.3">
      <c r="B168" s="170">
        <v>8</v>
      </c>
      <c r="C168" s="171" t="s">
        <v>233</v>
      </c>
      <c r="D168" s="171" t="s">
        <v>233</v>
      </c>
      <c r="E168" s="172">
        <v>76</v>
      </c>
      <c r="F168" s="173" t="s">
        <v>140</v>
      </c>
      <c r="G168" s="173">
        <v>120</v>
      </c>
      <c r="H168" s="173" t="s">
        <v>571</v>
      </c>
      <c r="I168" s="183">
        <f>20160*107%</f>
        <v>21571.200000000001</v>
      </c>
      <c r="J168" s="170">
        <v>12</v>
      </c>
      <c r="K168" s="174">
        <f t="shared" si="6"/>
        <v>215712</v>
      </c>
      <c r="L168" s="178" t="s">
        <v>574</v>
      </c>
    </row>
    <row r="169" spans="2:12" x14ac:dyDescent="0.3">
      <c r="B169" s="170">
        <v>9</v>
      </c>
      <c r="C169" s="171" t="s">
        <v>246</v>
      </c>
      <c r="D169" s="171" t="s">
        <v>246</v>
      </c>
      <c r="E169" s="172">
        <v>16</v>
      </c>
      <c r="F169" s="173" t="s">
        <v>140</v>
      </c>
      <c r="G169" s="173">
        <v>120</v>
      </c>
      <c r="H169" s="173" t="s">
        <v>567</v>
      </c>
      <c r="I169" s="183">
        <f>45000*107%</f>
        <v>48150</v>
      </c>
      <c r="J169" s="170">
        <v>12</v>
      </c>
      <c r="K169" s="174">
        <f t="shared" si="6"/>
        <v>481500</v>
      </c>
      <c r="L169" s="178" t="s">
        <v>574</v>
      </c>
    </row>
    <row r="170" spans="2:12" x14ac:dyDescent="0.3">
      <c r="B170" s="170">
        <v>10</v>
      </c>
      <c r="C170" s="171" t="s">
        <v>252</v>
      </c>
      <c r="D170" s="171" t="s">
        <v>252</v>
      </c>
      <c r="E170" s="172">
        <v>74</v>
      </c>
      <c r="F170" s="173" t="s">
        <v>140</v>
      </c>
      <c r="G170" s="173">
        <v>120</v>
      </c>
      <c r="H170" s="173" t="s">
        <v>567</v>
      </c>
      <c r="I170" s="183">
        <f>29000*107%</f>
        <v>31030</v>
      </c>
      <c r="J170" s="170">
        <v>12</v>
      </c>
      <c r="K170" s="174">
        <f t="shared" si="6"/>
        <v>310300</v>
      </c>
      <c r="L170" s="178" t="s">
        <v>574</v>
      </c>
    </row>
    <row r="171" spans="2:12" x14ac:dyDescent="0.3">
      <c r="B171" s="170">
        <v>11</v>
      </c>
      <c r="C171" s="171" t="s">
        <v>272</v>
      </c>
      <c r="D171" s="171" t="s">
        <v>272</v>
      </c>
      <c r="E171" s="172">
        <v>46</v>
      </c>
      <c r="F171" s="173" t="s">
        <v>140</v>
      </c>
      <c r="G171" s="173">
        <v>48</v>
      </c>
      <c r="H171" s="173" t="s">
        <v>567</v>
      </c>
      <c r="I171" s="183">
        <f>54000*107%</f>
        <v>57780</v>
      </c>
      <c r="J171" s="170">
        <v>12</v>
      </c>
      <c r="K171" s="174">
        <f t="shared" si="6"/>
        <v>231120</v>
      </c>
      <c r="L171" s="178" t="s">
        <v>574</v>
      </c>
    </row>
    <row r="172" spans="2:12" x14ac:dyDescent="0.3">
      <c r="B172" s="170">
        <v>12</v>
      </c>
      <c r="C172" s="171" t="s">
        <v>273</v>
      </c>
      <c r="D172" s="171" t="s">
        <v>273</v>
      </c>
      <c r="E172" s="172">
        <v>27</v>
      </c>
      <c r="F172" s="173" t="s">
        <v>140</v>
      </c>
      <c r="G172" s="173">
        <v>48</v>
      </c>
      <c r="H172" s="173" t="s">
        <v>567</v>
      </c>
      <c r="I172" s="183">
        <f>46554.3*107%</f>
        <v>49813.101000000002</v>
      </c>
      <c r="J172" s="170">
        <v>12</v>
      </c>
      <c r="K172" s="174">
        <f t="shared" si="6"/>
        <v>199252.40400000001</v>
      </c>
      <c r="L172" s="178" t="s">
        <v>574</v>
      </c>
    </row>
    <row r="173" spans="2:12" x14ac:dyDescent="0.3">
      <c r="B173" s="170">
        <v>13</v>
      </c>
      <c r="C173" s="279" t="s">
        <v>306</v>
      </c>
      <c r="D173" s="181" t="s">
        <v>306</v>
      </c>
      <c r="E173" s="172">
        <v>25</v>
      </c>
      <c r="F173" s="173" t="s">
        <v>140</v>
      </c>
      <c r="G173" s="173"/>
      <c r="H173" s="173"/>
      <c r="I173" s="183">
        <v>0</v>
      </c>
      <c r="J173" s="170">
        <v>0</v>
      </c>
      <c r="K173" s="180">
        <v>0</v>
      </c>
      <c r="L173" s="178" t="s">
        <v>301</v>
      </c>
    </row>
    <row r="174" spans="2:12" x14ac:dyDescent="0.3">
      <c r="B174" s="170">
        <v>14</v>
      </c>
      <c r="C174" s="279" t="s">
        <v>307</v>
      </c>
      <c r="D174" s="181" t="s">
        <v>307</v>
      </c>
      <c r="E174" s="172">
        <v>4</v>
      </c>
      <c r="F174" s="173" t="s">
        <v>140</v>
      </c>
      <c r="G174" s="173"/>
      <c r="H174" s="173"/>
      <c r="I174" s="183">
        <v>0</v>
      </c>
      <c r="J174" s="170">
        <v>0</v>
      </c>
      <c r="K174" s="180">
        <v>0</v>
      </c>
      <c r="L174" s="178" t="s">
        <v>301</v>
      </c>
    </row>
    <row r="175" spans="2:12" x14ac:dyDescent="0.3">
      <c r="B175" s="170">
        <v>15</v>
      </c>
      <c r="C175" s="279" t="s">
        <v>308</v>
      </c>
      <c r="D175" s="181" t="s">
        <v>308</v>
      </c>
      <c r="E175" s="172">
        <v>1</v>
      </c>
      <c r="F175" s="173" t="s">
        <v>140</v>
      </c>
      <c r="G175" s="173"/>
      <c r="H175" s="173"/>
      <c r="I175" s="183">
        <v>0</v>
      </c>
      <c r="J175" s="170">
        <v>0</v>
      </c>
      <c r="K175" s="180">
        <v>0</v>
      </c>
      <c r="L175" s="178" t="s">
        <v>301</v>
      </c>
    </row>
    <row r="176" spans="2:12" x14ac:dyDescent="0.3">
      <c r="B176" s="170">
        <v>16</v>
      </c>
      <c r="C176" s="279" t="s">
        <v>309</v>
      </c>
      <c r="D176" s="181" t="s">
        <v>309</v>
      </c>
      <c r="E176" s="172">
        <v>8</v>
      </c>
      <c r="F176" s="173" t="s">
        <v>140</v>
      </c>
      <c r="G176" s="173"/>
      <c r="H176" s="173"/>
      <c r="I176" s="183">
        <v>0</v>
      </c>
      <c r="J176" s="170">
        <v>0</v>
      </c>
      <c r="K176" s="180">
        <v>0</v>
      </c>
      <c r="L176" s="178" t="s">
        <v>301</v>
      </c>
    </row>
    <row r="177" spans="2:14" x14ac:dyDescent="0.3">
      <c r="B177" s="170">
        <v>17</v>
      </c>
      <c r="C177" s="279" t="s">
        <v>310</v>
      </c>
      <c r="D177" s="181" t="s">
        <v>310</v>
      </c>
      <c r="E177" s="172">
        <v>8</v>
      </c>
      <c r="F177" s="173" t="s">
        <v>140</v>
      </c>
      <c r="G177" s="173"/>
      <c r="H177" s="173"/>
      <c r="I177" s="183">
        <v>0</v>
      </c>
      <c r="J177" s="170">
        <v>0</v>
      </c>
      <c r="K177" s="180">
        <v>0</v>
      </c>
      <c r="L177" s="178" t="s">
        <v>301</v>
      </c>
    </row>
    <row r="178" spans="2:14" x14ac:dyDescent="0.3">
      <c r="B178" s="170">
        <v>18</v>
      </c>
      <c r="C178" s="279" t="s">
        <v>311</v>
      </c>
      <c r="D178" s="181" t="s">
        <v>311</v>
      </c>
      <c r="E178" s="172">
        <v>4</v>
      </c>
      <c r="F178" s="173" t="s">
        <v>140</v>
      </c>
      <c r="G178" s="173"/>
      <c r="H178" s="173"/>
      <c r="I178" s="183">
        <v>0</v>
      </c>
      <c r="J178" s="170">
        <v>0</v>
      </c>
      <c r="K178" s="180">
        <v>0</v>
      </c>
      <c r="L178" s="178" t="s">
        <v>301</v>
      </c>
    </row>
    <row r="179" spans="2:14" s="243" customFormat="1" x14ac:dyDescent="0.3">
      <c r="B179" s="249"/>
      <c r="C179" s="250"/>
      <c r="D179" s="250"/>
      <c r="E179" s="250"/>
      <c r="F179" s="250"/>
      <c r="G179" s="250"/>
      <c r="H179" s="250"/>
      <c r="I179" s="251">
        <f>SUM(I161:I178)</f>
        <v>801081.50100000005</v>
      </c>
      <c r="J179" s="252"/>
      <c r="K179" s="251">
        <f>SUM(K161:K178)</f>
        <v>4303703.4960000003</v>
      </c>
      <c r="L179" s="253"/>
      <c r="M179" s="318">
        <f>K179/107%</f>
        <v>4022152.8</v>
      </c>
    </row>
    <row r="180" spans="2:14" s="284" customFormat="1" x14ac:dyDescent="0.3">
      <c r="I180" s="285"/>
      <c r="J180" s="285"/>
      <c r="K180" s="319">
        <f>K179+K157+K141+K122</f>
        <v>236354696.79399994</v>
      </c>
      <c r="L180" s="287"/>
      <c r="M180" s="319">
        <f>M179+M157+M141+M122</f>
        <v>218212587.82047939</v>
      </c>
      <c r="N180" s="319">
        <f>K180-M180</f>
        <v>18142108.973520547</v>
      </c>
    </row>
    <row r="181" spans="2:14" x14ac:dyDescent="0.3">
      <c r="K181" s="320"/>
    </row>
    <row r="182" spans="2:14" x14ac:dyDescent="0.3">
      <c r="K182" s="320"/>
    </row>
    <row r="183" spans="2:14" x14ac:dyDescent="0.3">
      <c r="K183" s="320"/>
    </row>
    <row r="184" spans="2:14" x14ac:dyDescent="0.3">
      <c r="K184" s="320"/>
    </row>
  </sheetData>
  <mergeCells count="11">
    <mergeCell ref="B159:L159"/>
    <mergeCell ref="E160:F160"/>
    <mergeCell ref="G8:H8"/>
    <mergeCell ref="B7:L7"/>
    <mergeCell ref="E8:F8"/>
    <mergeCell ref="B124:L124"/>
    <mergeCell ref="E125:F125"/>
    <mergeCell ref="B143:L143"/>
    <mergeCell ref="E144:F144"/>
    <mergeCell ref="G125:H125"/>
    <mergeCell ref="G144:H144"/>
  </mergeCells>
  <printOptions horizontalCentered="1"/>
  <pageMargins left="0.70866141732283505" right="0.70866141732283505" top="0.74803149606299202" bottom="0.74803149606299202" header="0.31496062992126" footer="0.31496062992126"/>
  <pageSetup paperSize="9" scale="70" orientation="portrait" r:id="rId1"/>
  <rowBreaks count="1" manualBreakCount="1">
    <brk id="122" min="1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9BF9-E2AE-46CE-BCC0-5B73BDA5CE3B}">
  <dimension ref="A1:F11"/>
  <sheetViews>
    <sheetView showGridLines="0" zoomScaleNormal="100" workbookViewId="0">
      <selection activeCell="C13" sqref="C13"/>
    </sheetView>
  </sheetViews>
  <sheetFormatPr defaultRowHeight="14.4" x14ac:dyDescent="0.3"/>
  <cols>
    <col min="1" max="1" width="23.44140625" bestFit="1" customWidth="1"/>
    <col min="2" max="2" width="32.5546875" bestFit="1" customWidth="1"/>
    <col min="3" max="3" width="38.44140625" bestFit="1" customWidth="1"/>
    <col min="4" max="4" width="16.77734375" bestFit="1" customWidth="1"/>
    <col min="5" max="5" width="13.21875" style="24" bestFit="1" customWidth="1"/>
    <col min="6" max="6" width="12.77734375" style="24" bestFit="1" customWidth="1"/>
    <col min="7" max="7" width="26.21875" customWidth="1"/>
    <col min="8" max="8" width="10" bestFit="1" customWidth="1"/>
    <col min="9" max="9" width="18" customWidth="1"/>
  </cols>
  <sheetData>
    <row r="1" spans="1:6" ht="18" x14ac:dyDescent="0.35">
      <c r="A1" s="23" t="s">
        <v>312</v>
      </c>
    </row>
    <row r="3" spans="1:6" ht="28.8" x14ac:dyDescent="0.3">
      <c r="A3" s="256" t="s">
        <v>313</v>
      </c>
      <c r="B3" s="256" t="s">
        <v>314</v>
      </c>
      <c r="C3" s="256" t="s">
        <v>315</v>
      </c>
      <c r="D3" s="257" t="s">
        <v>316</v>
      </c>
      <c r="E3" s="256" t="s">
        <v>317</v>
      </c>
      <c r="F3" s="256" t="s">
        <v>318</v>
      </c>
    </row>
    <row r="4" spans="1:6" x14ac:dyDescent="0.3">
      <c r="A4" s="163" t="s">
        <v>319</v>
      </c>
      <c r="B4" s="164" t="s">
        <v>320</v>
      </c>
      <c r="C4" s="164" t="s">
        <v>321</v>
      </c>
      <c r="D4" s="165">
        <v>3000000</v>
      </c>
      <c r="E4" s="27" t="s">
        <v>322</v>
      </c>
      <c r="F4" s="168">
        <f>D4/36</f>
        <v>83333.333333333328</v>
      </c>
    </row>
    <row r="5" spans="1:6" x14ac:dyDescent="0.3">
      <c r="A5" s="163" t="s">
        <v>323</v>
      </c>
      <c r="B5" s="163" t="s">
        <v>324</v>
      </c>
      <c r="C5" s="164" t="s">
        <v>321</v>
      </c>
      <c r="D5" s="165">
        <v>3000000</v>
      </c>
      <c r="E5" s="27" t="s">
        <v>322</v>
      </c>
      <c r="F5" s="168">
        <f>D5/36</f>
        <v>83333.333333333328</v>
      </c>
    </row>
    <row r="6" spans="1:6" x14ac:dyDescent="0.3">
      <c r="A6" s="163" t="s">
        <v>325</v>
      </c>
      <c r="B6" s="163" t="s">
        <v>324</v>
      </c>
      <c r="C6" s="164" t="s">
        <v>321</v>
      </c>
      <c r="D6" s="165">
        <v>3000000</v>
      </c>
      <c r="E6" s="27" t="s">
        <v>322</v>
      </c>
      <c r="F6" s="168">
        <f>D6/36</f>
        <v>83333.333333333328</v>
      </c>
    </row>
    <row r="7" spans="1:6" s="25" customFormat="1" x14ac:dyDescent="0.3">
      <c r="A7" s="163" t="s">
        <v>325</v>
      </c>
      <c r="B7" s="163" t="s">
        <v>326</v>
      </c>
      <c r="C7" s="164" t="s">
        <v>327</v>
      </c>
      <c r="D7" s="165">
        <v>3500000</v>
      </c>
      <c r="E7" s="27" t="s">
        <v>322</v>
      </c>
      <c r="F7" s="168">
        <f>D7/36</f>
        <v>97222.222222222219</v>
      </c>
    </row>
    <row r="8" spans="1:6" s="25" customFormat="1" x14ac:dyDescent="0.3">
      <c r="A8" s="362" t="s">
        <v>323</v>
      </c>
      <c r="B8" s="362" t="s">
        <v>328</v>
      </c>
      <c r="C8" s="166" t="s">
        <v>329</v>
      </c>
      <c r="D8" s="167">
        <v>9000000</v>
      </c>
      <c r="E8" s="27" t="s">
        <v>322</v>
      </c>
      <c r="F8" s="168">
        <f>D8/36</f>
        <v>250000</v>
      </c>
    </row>
    <row r="9" spans="1:6" s="25" customFormat="1" x14ac:dyDescent="0.3">
      <c r="A9" s="362"/>
      <c r="B9" s="362"/>
      <c r="C9" s="166" t="s">
        <v>330</v>
      </c>
      <c r="D9" s="167">
        <v>4500000</v>
      </c>
      <c r="E9" s="27" t="s">
        <v>322</v>
      </c>
      <c r="F9" s="168">
        <f t="shared" ref="F9:F11" si="0">D9/36</f>
        <v>125000</v>
      </c>
    </row>
    <row r="10" spans="1:6" x14ac:dyDescent="0.3">
      <c r="A10" s="362" t="s">
        <v>325</v>
      </c>
      <c r="B10" s="362" t="s">
        <v>328</v>
      </c>
      <c r="C10" s="166" t="s">
        <v>331</v>
      </c>
      <c r="D10" s="167">
        <v>5500000</v>
      </c>
      <c r="E10" s="27" t="s">
        <v>322</v>
      </c>
      <c r="F10" s="168">
        <f t="shared" si="0"/>
        <v>152777.77777777778</v>
      </c>
    </row>
    <row r="11" spans="1:6" x14ac:dyDescent="0.3">
      <c r="A11" s="362"/>
      <c r="B11" s="362"/>
      <c r="C11" s="166" t="s">
        <v>330</v>
      </c>
      <c r="D11" s="167">
        <v>4500000</v>
      </c>
      <c r="E11" s="27" t="s">
        <v>322</v>
      </c>
      <c r="F11" s="168">
        <f t="shared" si="0"/>
        <v>125000</v>
      </c>
    </row>
  </sheetData>
  <mergeCells count="4">
    <mergeCell ref="A10:A11"/>
    <mergeCell ref="A8:A9"/>
    <mergeCell ref="B10:B11"/>
    <mergeCell ref="B8:B9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DA80-51CC-40E4-B3F4-5C297D1A1D8F}">
  <dimension ref="B5:I167"/>
  <sheetViews>
    <sheetView showGridLines="0" view="pageBreakPreview" topLeftCell="A153" zoomScale="60" zoomScaleNormal="70" workbookViewId="0">
      <selection activeCell="D89" sqref="D89"/>
    </sheetView>
  </sheetViews>
  <sheetFormatPr defaultColWidth="9.21875" defaultRowHeight="14.4" x14ac:dyDescent="0.3"/>
  <cols>
    <col min="1" max="1" width="6.44140625" style="46" bestFit="1" customWidth="1"/>
    <col min="2" max="2" width="6.5546875" style="46" customWidth="1"/>
    <col min="3" max="3" width="37" style="46" bestFit="1" customWidth="1"/>
    <col min="4" max="4" width="32.6640625" style="298" customWidth="1"/>
    <col min="5" max="5" width="9.5546875" style="22" bestFit="1" customWidth="1"/>
    <col min="6" max="6" width="49.88671875" style="46" bestFit="1" customWidth="1"/>
    <col min="7" max="7" width="21" style="22" customWidth="1"/>
    <col min="8" max="8" width="10.77734375" style="46" bestFit="1" customWidth="1"/>
    <col min="9" max="9" width="11.21875" style="22" customWidth="1"/>
    <col min="10" max="10" width="16.44140625" style="46" customWidth="1"/>
    <col min="11" max="11" width="15.44140625" style="46" bestFit="1" customWidth="1"/>
    <col min="12" max="12" width="13.21875" style="46" customWidth="1"/>
    <col min="13" max="13" width="11.5546875" style="46" customWidth="1"/>
    <col min="14" max="257" width="9.21875" style="46"/>
    <col min="258" max="258" width="3.5546875" style="46" customWidth="1"/>
    <col min="259" max="259" width="6.5546875" style="46" customWidth="1"/>
    <col min="260" max="260" width="17.77734375" style="46" customWidth="1"/>
    <col min="261" max="261" width="4.5546875" style="46" customWidth="1"/>
    <col min="262" max="262" width="8.5546875" style="46" customWidth="1"/>
    <col min="263" max="263" width="22.21875" style="46" customWidth="1"/>
    <col min="264" max="264" width="45.5546875" style="46" customWidth="1"/>
    <col min="265" max="265" width="4.5546875" style="46" customWidth="1"/>
    <col min="266" max="266" width="46.5546875" style="46" bestFit="1" customWidth="1"/>
    <col min="267" max="267" width="13.77734375" style="46" bestFit="1" customWidth="1"/>
    <col min="268" max="269" width="10.5546875" style="46" bestFit="1" customWidth="1"/>
    <col min="270" max="513" width="9.21875" style="46"/>
    <col min="514" max="514" width="3.5546875" style="46" customWidth="1"/>
    <col min="515" max="515" width="6.5546875" style="46" customWidth="1"/>
    <col min="516" max="516" width="17.77734375" style="46" customWidth="1"/>
    <col min="517" max="517" width="4.5546875" style="46" customWidth="1"/>
    <col min="518" max="518" width="8.5546875" style="46" customWidth="1"/>
    <col min="519" max="519" width="22.21875" style="46" customWidth="1"/>
    <col min="520" max="520" width="45.5546875" style="46" customWidth="1"/>
    <col min="521" max="521" width="4.5546875" style="46" customWidth="1"/>
    <col min="522" max="522" width="46.5546875" style="46" bestFit="1" customWidth="1"/>
    <col min="523" max="523" width="13.77734375" style="46" bestFit="1" customWidth="1"/>
    <col min="524" max="525" width="10.5546875" style="46" bestFit="1" customWidth="1"/>
    <col min="526" max="769" width="9.21875" style="46"/>
    <col min="770" max="770" width="3.5546875" style="46" customWidth="1"/>
    <col min="771" max="771" width="6.5546875" style="46" customWidth="1"/>
    <col min="772" max="772" width="17.77734375" style="46" customWidth="1"/>
    <col min="773" max="773" width="4.5546875" style="46" customWidth="1"/>
    <col min="774" max="774" width="8.5546875" style="46" customWidth="1"/>
    <col min="775" max="775" width="22.21875" style="46" customWidth="1"/>
    <col min="776" max="776" width="45.5546875" style="46" customWidth="1"/>
    <col min="777" max="777" width="4.5546875" style="46" customWidth="1"/>
    <col min="778" max="778" width="46.5546875" style="46" bestFit="1" customWidth="1"/>
    <col min="779" max="779" width="13.77734375" style="46" bestFit="1" customWidth="1"/>
    <col min="780" max="781" width="10.5546875" style="46" bestFit="1" customWidth="1"/>
    <col min="782" max="1025" width="9.21875" style="46"/>
    <col min="1026" max="1026" width="3.5546875" style="46" customWidth="1"/>
    <col min="1027" max="1027" width="6.5546875" style="46" customWidth="1"/>
    <col min="1028" max="1028" width="17.77734375" style="46" customWidth="1"/>
    <col min="1029" max="1029" width="4.5546875" style="46" customWidth="1"/>
    <col min="1030" max="1030" width="8.5546875" style="46" customWidth="1"/>
    <col min="1031" max="1031" width="22.21875" style="46" customWidth="1"/>
    <col min="1032" max="1032" width="45.5546875" style="46" customWidth="1"/>
    <col min="1033" max="1033" width="4.5546875" style="46" customWidth="1"/>
    <col min="1034" max="1034" width="46.5546875" style="46" bestFit="1" customWidth="1"/>
    <col min="1035" max="1035" width="13.77734375" style="46" bestFit="1" customWidth="1"/>
    <col min="1036" max="1037" width="10.5546875" style="46" bestFit="1" customWidth="1"/>
    <col min="1038" max="1281" width="9.21875" style="46"/>
    <col min="1282" max="1282" width="3.5546875" style="46" customWidth="1"/>
    <col min="1283" max="1283" width="6.5546875" style="46" customWidth="1"/>
    <col min="1284" max="1284" width="17.77734375" style="46" customWidth="1"/>
    <col min="1285" max="1285" width="4.5546875" style="46" customWidth="1"/>
    <col min="1286" max="1286" width="8.5546875" style="46" customWidth="1"/>
    <col min="1287" max="1287" width="22.21875" style="46" customWidth="1"/>
    <col min="1288" max="1288" width="45.5546875" style="46" customWidth="1"/>
    <col min="1289" max="1289" width="4.5546875" style="46" customWidth="1"/>
    <col min="1290" max="1290" width="46.5546875" style="46" bestFit="1" customWidth="1"/>
    <col min="1291" max="1291" width="13.77734375" style="46" bestFit="1" customWidth="1"/>
    <col min="1292" max="1293" width="10.5546875" style="46" bestFit="1" customWidth="1"/>
    <col min="1294" max="1537" width="9.21875" style="46"/>
    <col min="1538" max="1538" width="3.5546875" style="46" customWidth="1"/>
    <col min="1539" max="1539" width="6.5546875" style="46" customWidth="1"/>
    <col min="1540" max="1540" width="17.77734375" style="46" customWidth="1"/>
    <col min="1541" max="1541" width="4.5546875" style="46" customWidth="1"/>
    <col min="1542" max="1542" width="8.5546875" style="46" customWidth="1"/>
    <col min="1543" max="1543" width="22.21875" style="46" customWidth="1"/>
    <col min="1544" max="1544" width="45.5546875" style="46" customWidth="1"/>
    <col min="1545" max="1545" width="4.5546875" style="46" customWidth="1"/>
    <col min="1546" max="1546" width="46.5546875" style="46" bestFit="1" customWidth="1"/>
    <col min="1547" max="1547" width="13.77734375" style="46" bestFit="1" customWidth="1"/>
    <col min="1548" max="1549" width="10.5546875" style="46" bestFit="1" customWidth="1"/>
    <col min="1550" max="1793" width="9.21875" style="46"/>
    <col min="1794" max="1794" width="3.5546875" style="46" customWidth="1"/>
    <col min="1795" max="1795" width="6.5546875" style="46" customWidth="1"/>
    <col min="1796" max="1796" width="17.77734375" style="46" customWidth="1"/>
    <col min="1797" max="1797" width="4.5546875" style="46" customWidth="1"/>
    <col min="1798" max="1798" width="8.5546875" style="46" customWidth="1"/>
    <col min="1799" max="1799" width="22.21875" style="46" customWidth="1"/>
    <col min="1800" max="1800" width="45.5546875" style="46" customWidth="1"/>
    <col min="1801" max="1801" width="4.5546875" style="46" customWidth="1"/>
    <col min="1802" max="1802" width="46.5546875" style="46" bestFit="1" customWidth="1"/>
    <col min="1803" max="1803" width="13.77734375" style="46" bestFit="1" customWidth="1"/>
    <col min="1804" max="1805" width="10.5546875" style="46" bestFit="1" customWidth="1"/>
    <col min="1806" max="2049" width="9.21875" style="46"/>
    <col min="2050" max="2050" width="3.5546875" style="46" customWidth="1"/>
    <col min="2051" max="2051" width="6.5546875" style="46" customWidth="1"/>
    <col min="2052" max="2052" width="17.77734375" style="46" customWidth="1"/>
    <col min="2053" max="2053" width="4.5546875" style="46" customWidth="1"/>
    <col min="2054" max="2054" width="8.5546875" style="46" customWidth="1"/>
    <col min="2055" max="2055" width="22.21875" style="46" customWidth="1"/>
    <col min="2056" max="2056" width="45.5546875" style="46" customWidth="1"/>
    <col min="2057" max="2057" width="4.5546875" style="46" customWidth="1"/>
    <col min="2058" max="2058" width="46.5546875" style="46" bestFit="1" customWidth="1"/>
    <col min="2059" max="2059" width="13.77734375" style="46" bestFit="1" customWidth="1"/>
    <col min="2060" max="2061" width="10.5546875" style="46" bestFit="1" customWidth="1"/>
    <col min="2062" max="2305" width="9.21875" style="46"/>
    <col min="2306" max="2306" width="3.5546875" style="46" customWidth="1"/>
    <col min="2307" max="2307" width="6.5546875" style="46" customWidth="1"/>
    <col min="2308" max="2308" width="17.77734375" style="46" customWidth="1"/>
    <col min="2309" max="2309" width="4.5546875" style="46" customWidth="1"/>
    <col min="2310" max="2310" width="8.5546875" style="46" customWidth="1"/>
    <col min="2311" max="2311" width="22.21875" style="46" customWidth="1"/>
    <col min="2312" max="2312" width="45.5546875" style="46" customWidth="1"/>
    <col min="2313" max="2313" width="4.5546875" style="46" customWidth="1"/>
    <col min="2314" max="2314" width="46.5546875" style="46" bestFit="1" customWidth="1"/>
    <col min="2315" max="2315" width="13.77734375" style="46" bestFit="1" customWidth="1"/>
    <col min="2316" max="2317" width="10.5546875" style="46" bestFit="1" customWidth="1"/>
    <col min="2318" max="2561" width="9.21875" style="46"/>
    <col min="2562" max="2562" width="3.5546875" style="46" customWidth="1"/>
    <col min="2563" max="2563" width="6.5546875" style="46" customWidth="1"/>
    <col min="2564" max="2564" width="17.77734375" style="46" customWidth="1"/>
    <col min="2565" max="2565" width="4.5546875" style="46" customWidth="1"/>
    <col min="2566" max="2566" width="8.5546875" style="46" customWidth="1"/>
    <col min="2567" max="2567" width="22.21875" style="46" customWidth="1"/>
    <col min="2568" max="2568" width="45.5546875" style="46" customWidth="1"/>
    <col min="2569" max="2569" width="4.5546875" style="46" customWidth="1"/>
    <col min="2570" max="2570" width="46.5546875" style="46" bestFit="1" customWidth="1"/>
    <col min="2571" max="2571" width="13.77734375" style="46" bestFit="1" customWidth="1"/>
    <col min="2572" max="2573" width="10.5546875" style="46" bestFit="1" customWidth="1"/>
    <col min="2574" max="2817" width="9.21875" style="46"/>
    <col min="2818" max="2818" width="3.5546875" style="46" customWidth="1"/>
    <col min="2819" max="2819" width="6.5546875" style="46" customWidth="1"/>
    <col min="2820" max="2820" width="17.77734375" style="46" customWidth="1"/>
    <col min="2821" max="2821" width="4.5546875" style="46" customWidth="1"/>
    <col min="2822" max="2822" width="8.5546875" style="46" customWidth="1"/>
    <col min="2823" max="2823" width="22.21875" style="46" customWidth="1"/>
    <col min="2824" max="2824" width="45.5546875" style="46" customWidth="1"/>
    <col min="2825" max="2825" width="4.5546875" style="46" customWidth="1"/>
    <col min="2826" max="2826" width="46.5546875" style="46" bestFit="1" customWidth="1"/>
    <col min="2827" max="2827" width="13.77734375" style="46" bestFit="1" customWidth="1"/>
    <col min="2828" max="2829" width="10.5546875" style="46" bestFit="1" customWidth="1"/>
    <col min="2830" max="3073" width="9.21875" style="46"/>
    <col min="3074" max="3074" width="3.5546875" style="46" customWidth="1"/>
    <col min="3075" max="3075" width="6.5546875" style="46" customWidth="1"/>
    <col min="3076" max="3076" width="17.77734375" style="46" customWidth="1"/>
    <col min="3077" max="3077" width="4.5546875" style="46" customWidth="1"/>
    <col min="3078" max="3078" width="8.5546875" style="46" customWidth="1"/>
    <col min="3079" max="3079" width="22.21875" style="46" customWidth="1"/>
    <col min="3080" max="3080" width="45.5546875" style="46" customWidth="1"/>
    <col min="3081" max="3081" width="4.5546875" style="46" customWidth="1"/>
    <col min="3082" max="3082" width="46.5546875" style="46" bestFit="1" customWidth="1"/>
    <col min="3083" max="3083" width="13.77734375" style="46" bestFit="1" customWidth="1"/>
    <col min="3084" max="3085" width="10.5546875" style="46" bestFit="1" customWidth="1"/>
    <col min="3086" max="3329" width="9.21875" style="46"/>
    <col min="3330" max="3330" width="3.5546875" style="46" customWidth="1"/>
    <col min="3331" max="3331" width="6.5546875" style="46" customWidth="1"/>
    <col min="3332" max="3332" width="17.77734375" style="46" customWidth="1"/>
    <col min="3333" max="3333" width="4.5546875" style="46" customWidth="1"/>
    <col min="3334" max="3334" width="8.5546875" style="46" customWidth="1"/>
    <col min="3335" max="3335" width="22.21875" style="46" customWidth="1"/>
    <col min="3336" max="3336" width="45.5546875" style="46" customWidth="1"/>
    <col min="3337" max="3337" width="4.5546875" style="46" customWidth="1"/>
    <col min="3338" max="3338" width="46.5546875" style="46" bestFit="1" customWidth="1"/>
    <col min="3339" max="3339" width="13.77734375" style="46" bestFit="1" customWidth="1"/>
    <col min="3340" max="3341" width="10.5546875" style="46" bestFit="1" customWidth="1"/>
    <col min="3342" max="3585" width="9.21875" style="46"/>
    <col min="3586" max="3586" width="3.5546875" style="46" customWidth="1"/>
    <col min="3587" max="3587" width="6.5546875" style="46" customWidth="1"/>
    <col min="3588" max="3588" width="17.77734375" style="46" customWidth="1"/>
    <col min="3589" max="3589" width="4.5546875" style="46" customWidth="1"/>
    <col min="3590" max="3590" width="8.5546875" style="46" customWidth="1"/>
    <col min="3591" max="3591" width="22.21875" style="46" customWidth="1"/>
    <col min="3592" max="3592" width="45.5546875" style="46" customWidth="1"/>
    <col min="3593" max="3593" width="4.5546875" style="46" customWidth="1"/>
    <col min="3594" max="3594" width="46.5546875" style="46" bestFit="1" customWidth="1"/>
    <col min="3595" max="3595" width="13.77734375" style="46" bestFit="1" customWidth="1"/>
    <col min="3596" max="3597" width="10.5546875" style="46" bestFit="1" customWidth="1"/>
    <col min="3598" max="3841" width="9.21875" style="46"/>
    <col min="3842" max="3842" width="3.5546875" style="46" customWidth="1"/>
    <col min="3843" max="3843" width="6.5546875" style="46" customWidth="1"/>
    <col min="3844" max="3844" width="17.77734375" style="46" customWidth="1"/>
    <col min="3845" max="3845" width="4.5546875" style="46" customWidth="1"/>
    <col min="3846" max="3846" width="8.5546875" style="46" customWidth="1"/>
    <col min="3847" max="3847" width="22.21875" style="46" customWidth="1"/>
    <col min="3848" max="3848" width="45.5546875" style="46" customWidth="1"/>
    <col min="3849" max="3849" width="4.5546875" style="46" customWidth="1"/>
    <col min="3850" max="3850" width="46.5546875" style="46" bestFit="1" customWidth="1"/>
    <col min="3851" max="3851" width="13.77734375" style="46" bestFit="1" customWidth="1"/>
    <col min="3852" max="3853" width="10.5546875" style="46" bestFit="1" customWidth="1"/>
    <col min="3854" max="4097" width="9.21875" style="46"/>
    <col min="4098" max="4098" width="3.5546875" style="46" customWidth="1"/>
    <col min="4099" max="4099" width="6.5546875" style="46" customWidth="1"/>
    <col min="4100" max="4100" width="17.77734375" style="46" customWidth="1"/>
    <col min="4101" max="4101" width="4.5546875" style="46" customWidth="1"/>
    <col min="4102" max="4102" width="8.5546875" style="46" customWidth="1"/>
    <col min="4103" max="4103" width="22.21875" style="46" customWidth="1"/>
    <col min="4104" max="4104" width="45.5546875" style="46" customWidth="1"/>
    <col min="4105" max="4105" width="4.5546875" style="46" customWidth="1"/>
    <col min="4106" max="4106" width="46.5546875" style="46" bestFit="1" customWidth="1"/>
    <col min="4107" max="4107" width="13.77734375" style="46" bestFit="1" customWidth="1"/>
    <col min="4108" max="4109" width="10.5546875" style="46" bestFit="1" customWidth="1"/>
    <col min="4110" max="4353" width="9.21875" style="46"/>
    <col min="4354" max="4354" width="3.5546875" style="46" customWidth="1"/>
    <col min="4355" max="4355" width="6.5546875" style="46" customWidth="1"/>
    <col min="4356" max="4356" width="17.77734375" style="46" customWidth="1"/>
    <col min="4357" max="4357" width="4.5546875" style="46" customWidth="1"/>
    <col min="4358" max="4358" width="8.5546875" style="46" customWidth="1"/>
    <col min="4359" max="4359" width="22.21875" style="46" customWidth="1"/>
    <col min="4360" max="4360" width="45.5546875" style="46" customWidth="1"/>
    <col min="4361" max="4361" width="4.5546875" style="46" customWidth="1"/>
    <col min="4362" max="4362" width="46.5546875" style="46" bestFit="1" customWidth="1"/>
    <col min="4363" max="4363" width="13.77734375" style="46" bestFit="1" customWidth="1"/>
    <col min="4364" max="4365" width="10.5546875" style="46" bestFit="1" customWidth="1"/>
    <col min="4366" max="4609" width="9.21875" style="46"/>
    <col min="4610" max="4610" width="3.5546875" style="46" customWidth="1"/>
    <col min="4611" max="4611" width="6.5546875" style="46" customWidth="1"/>
    <col min="4612" max="4612" width="17.77734375" style="46" customWidth="1"/>
    <col min="4613" max="4613" width="4.5546875" style="46" customWidth="1"/>
    <col min="4614" max="4614" width="8.5546875" style="46" customWidth="1"/>
    <col min="4615" max="4615" width="22.21875" style="46" customWidth="1"/>
    <col min="4616" max="4616" width="45.5546875" style="46" customWidth="1"/>
    <col min="4617" max="4617" width="4.5546875" style="46" customWidth="1"/>
    <col min="4618" max="4618" width="46.5546875" style="46" bestFit="1" customWidth="1"/>
    <col min="4619" max="4619" width="13.77734375" style="46" bestFit="1" customWidth="1"/>
    <col min="4620" max="4621" width="10.5546875" style="46" bestFit="1" customWidth="1"/>
    <col min="4622" max="4865" width="9.21875" style="46"/>
    <col min="4866" max="4866" width="3.5546875" style="46" customWidth="1"/>
    <col min="4867" max="4867" width="6.5546875" style="46" customWidth="1"/>
    <col min="4868" max="4868" width="17.77734375" style="46" customWidth="1"/>
    <col min="4869" max="4869" width="4.5546875" style="46" customWidth="1"/>
    <col min="4870" max="4870" width="8.5546875" style="46" customWidth="1"/>
    <col min="4871" max="4871" width="22.21875" style="46" customWidth="1"/>
    <col min="4872" max="4872" width="45.5546875" style="46" customWidth="1"/>
    <col min="4873" max="4873" width="4.5546875" style="46" customWidth="1"/>
    <col min="4874" max="4874" width="46.5546875" style="46" bestFit="1" customWidth="1"/>
    <col min="4875" max="4875" width="13.77734375" style="46" bestFit="1" customWidth="1"/>
    <col min="4876" max="4877" width="10.5546875" style="46" bestFit="1" customWidth="1"/>
    <col min="4878" max="5121" width="9.21875" style="46"/>
    <col min="5122" max="5122" width="3.5546875" style="46" customWidth="1"/>
    <col min="5123" max="5123" width="6.5546875" style="46" customWidth="1"/>
    <col min="5124" max="5124" width="17.77734375" style="46" customWidth="1"/>
    <col min="5125" max="5125" width="4.5546875" style="46" customWidth="1"/>
    <col min="5126" max="5126" width="8.5546875" style="46" customWidth="1"/>
    <col min="5127" max="5127" width="22.21875" style="46" customWidth="1"/>
    <col min="5128" max="5128" width="45.5546875" style="46" customWidth="1"/>
    <col min="5129" max="5129" width="4.5546875" style="46" customWidth="1"/>
    <col min="5130" max="5130" width="46.5546875" style="46" bestFit="1" customWidth="1"/>
    <col min="5131" max="5131" width="13.77734375" style="46" bestFit="1" customWidth="1"/>
    <col min="5132" max="5133" width="10.5546875" style="46" bestFit="1" customWidth="1"/>
    <col min="5134" max="5377" width="9.21875" style="46"/>
    <col min="5378" max="5378" width="3.5546875" style="46" customWidth="1"/>
    <col min="5379" max="5379" width="6.5546875" style="46" customWidth="1"/>
    <col min="5380" max="5380" width="17.77734375" style="46" customWidth="1"/>
    <col min="5381" max="5381" width="4.5546875" style="46" customWidth="1"/>
    <col min="5382" max="5382" width="8.5546875" style="46" customWidth="1"/>
    <col min="5383" max="5383" width="22.21875" style="46" customWidth="1"/>
    <col min="5384" max="5384" width="45.5546875" style="46" customWidth="1"/>
    <col min="5385" max="5385" width="4.5546875" style="46" customWidth="1"/>
    <col min="5386" max="5386" width="46.5546875" style="46" bestFit="1" customWidth="1"/>
    <col min="5387" max="5387" width="13.77734375" style="46" bestFit="1" customWidth="1"/>
    <col min="5388" max="5389" width="10.5546875" style="46" bestFit="1" customWidth="1"/>
    <col min="5390" max="5633" width="9.21875" style="46"/>
    <col min="5634" max="5634" width="3.5546875" style="46" customWidth="1"/>
    <col min="5635" max="5635" width="6.5546875" style="46" customWidth="1"/>
    <col min="5636" max="5636" width="17.77734375" style="46" customWidth="1"/>
    <col min="5637" max="5637" width="4.5546875" style="46" customWidth="1"/>
    <col min="5638" max="5638" width="8.5546875" style="46" customWidth="1"/>
    <col min="5639" max="5639" width="22.21875" style="46" customWidth="1"/>
    <col min="5640" max="5640" width="45.5546875" style="46" customWidth="1"/>
    <col min="5641" max="5641" width="4.5546875" style="46" customWidth="1"/>
    <col min="5642" max="5642" width="46.5546875" style="46" bestFit="1" customWidth="1"/>
    <col min="5643" max="5643" width="13.77734375" style="46" bestFit="1" customWidth="1"/>
    <col min="5644" max="5645" width="10.5546875" style="46" bestFit="1" customWidth="1"/>
    <col min="5646" max="5889" width="9.21875" style="46"/>
    <col min="5890" max="5890" width="3.5546875" style="46" customWidth="1"/>
    <col min="5891" max="5891" width="6.5546875" style="46" customWidth="1"/>
    <col min="5892" max="5892" width="17.77734375" style="46" customWidth="1"/>
    <col min="5893" max="5893" width="4.5546875" style="46" customWidth="1"/>
    <col min="5894" max="5894" width="8.5546875" style="46" customWidth="1"/>
    <col min="5895" max="5895" width="22.21875" style="46" customWidth="1"/>
    <col min="5896" max="5896" width="45.5546875" style="46" customWidth="1"/>
    <col min="5897" max="5897" width="4.5546875" style="46" customWidth="1"/>
    <col min="5898" max="5898" width="46.5546875" style="46" bestFit="1" customWidth="1"/>
    <col min="5899" max="5899" width="13.77734375" style="46" bestFit="1" customWidth="1"/>
    <col min="5900" max="5901" width="10.5546875" style="46" bestFit="1" customWidth="1"/>
    <col min="5902" max="6145" width="9.21875" style="46"/>
    <col min="6146" max="6146" width="3.5546875" style="46" customWidth="1"/>
    <col min="6147" max="6147" width="6.5546875" style="46" customWidth="1"/>
    <col min="6148" max="6148" width="17.77734375" style="46" customWidth="1"/>
    <col min="6149" max="6149" width="4.5546875" style="46" customWidth="1"/>
    <col min="6150" max="6150" width="8.5546875" style="46" customWidth="1"/>
    <col min="6151" max="6151" width="22.21875" style="46" customWidth="1"/>
    <col min="6152" max="6152" width="45.5546875" style="46" customWidth="1"/>
    <col min="6153" max="6153" width="4.5546875" style="46" customWidth="1"/>
    <col min="6154" max="6154" width="46.5546875" style="46" bestFit="1" customWidth="1"/>
    <col min="6155" max="6155" width="13.77734375" style="46" bestFit="1" customWidth="1"/>
    <col min="6156" max="6157" width="10.5546875" style="46" bestFit="1" customWidth="1"/>
    <col min="6158" max="6401" width="9.21875" style="46"/>
    <col min="6402" max="6402" width="3.5546875" style="46" customWidth="1"/>
    <col min="6403" max="6403" width="6.5546875" style="46" customWidth="1"/>
    <col min="6404" max="6404" width="17.77734375" style="46" customWidth="1"/>
    <col min="6405" max="6405" width="4.5546875" style="46" customWidth="1"/>
    <col min="6406" max="6406" width="8.5546875" style="46" customWidth="1"/>
    <col min="6407" max="6407" width="22.21875" style="46" customWidth="1"/>
    <col min="6408" max="6408" width="45.5546875" style="46" customWidth="1"/>
    <col min="6409" max="6409" width="4.5546875" style="46" customWidth="1"/>
    <col min="6410" max="6410" width="46.5546875" style="46" bestFit="1" customWidth="1"/>
    <col min="6411" max="6411" width="13.77734375" style="46" bestFit="1" customWidth="1"/>
    <col min="6412" max="6413" width="10.5546875" style="46" bestFit="1" customWidth="1"/>
    <col min="6414" max="6657" width="9.21875" style="46"/>
    <col min="6658" max="6658" width="3.5546875" style="46" customWidth="1"/>
    <col min="6659" max="6659" width="6.5546875" style="46" customWidth="1"/>
    <col min="6660" max="6660" width="17.77734375" style="46" customWidth="1"/>
    <col min="6661" max="6661" width="4.5546875" style="46" customWidth="1"/>
    <col min="6662" max="6662" width="8.5546875" style="46" customWidth="1"/>
    <col min="6663" max="6663" width="22.21875" style="46" customWidth="1"/>
    <col min="6664" max="6664" width="45.5546875" style="46" customWidth="1"/>
    <col min="6665" max="6665" width="4.5546875" style="46" customWidth="1"/>
    <col min="6666" max="6666" width="46.5546875" style="46" bestFit="1" customWidth="1"/>
    <col min="6667" max="6667" width="13.77734375" style="46" bestFit="1" customWidth="1"/>
    <col min="6668" max="6669" width="10.5546875" style="46" bestFit="1" customWidth="1"/>
    <col min="6670" max="6913" width="9.21875" style="46"/>
    <col min="6914" max="6914" width="3.5546875" style="46" customWidth="1"/>
    <col min="6915" max="6915" width="6.5546875" style="46" customWidth="1"/>
    <col min="6916" max="6916" width="17.77734375" style="46" customWidth="1"/>
    <col min="6917" max="6917" width="4.5546875" style="46" customWidth="1"/>
    <col min="6918" max="6918" width="8.5546875" style="46" customWidth="1"/>
    <col min="6919" max="6919" width="22.21875" style="46" customWidth="1"/>
    <col min="6920" max="6920" width="45.5546875" style="46" customWidth="1"/>
    <col min="6921" max="6921" width="4.5546875" style="46" customWidth="1"/>
    <col min="6922" max="6922" width="46.5546875" style="46" bestFit="1" customWidth="1"/>
    <col min="6923" max="6923" width="13.77734375" style="46" bestFit="1" customWidth="1"/>
    <col min="6924" max="6925" width="10.5546875" style="46" bestFit="1" customWidth="1"/>
    <col min="6926" max="7169" width="9.21875" style="46"/>
    <col min="7170" max="7170" width="3.5546875" style="46" customWidth="1"/>
    <col min="7171" max="7171" width="6.5546875" style="46" customWidth="1"/>
    <col min="7172" max="7172" width="17.77734375" style="46" customWidth="1"/>
    <col min="7173" max="7173" width="4.5546875" style="46" customWidth="1"/>
    <col min="7174" max="7174" width="8.5546875" style="46" customWidth="1"/>
    <col min="7175" max="7175" width="22.21875" style="46" customWidth="1"/>
    <col min="7176" max="7176" width="45.5546875" style="46" customWidth="1"/>
    <col min="7177" max="7177" width="4.5546875" style="46" customWidth="1"/>
    <col min="7178" max="7178" width="46.5546875" style="46" bestFit="1" customWidth="1"/>
    <col min="7179" max="7179" width="13.77734375" style="46" bestFit="1" customWidth="1"/>
    <col min="7180" max="7181" width="10.5546875" style="46" bestFit="1" customWidth="1"/>
    <col min="7182" max="7425" width="9.21875" style="46"/>
    <col min="7426" max="7426" width="3.5546875" style="46" customWidth="1"/>
    <col min="7427" max="7427" width="6.5546875" style="46" customWidth="1"/>
    <col min="7428" max="7428" width="17.77734375" style="46" customWidth="1"/>
    <col min="7429" max="7429" width="4.5546875" style="46" customWidth="1"/>
    <col min="7430" max="7430" width="8.5546875" style="46" customWidth="1"/>
    <col min="7431" max="7431" width="22.21875" style="46" customWidth="1"/>
    <col min="7432" max="7432" width="45.5546875" style="46" customWidth="1"/>
    <col min="7433" max="7433" width="4.5546875" style="46" customWidth="1"/>
    <col min="7434" max="7434" width="46.5546875" style="46" bestFit="1" customWidth="1"/>
    <col min="7435" max="7435" width="13.77734375" style="46" bestFit="1" customWidth="1"/>
    <col min="7436" max="7437" width="10.5546875" style="46" bestFit="1" customWidth="1"/>
    <col min="7438" max="7681" width="9.21875" style="46"/>
    <col min="7682" max="7682" width="3.5546875" style="46" customWidth="1"/>
    <col min="7683" max="7683" width="6.5546875" style="46" customWidth="1"/>
    <col min="7684" max="7684" width="17.77734375" style="46" customWidth="1"/>
    <col min="7685" max="7685" width="4.5546875" style="46" customWidth="1"/>
    <col min="7686" max="7686" width="8.5546875" style="46" customWidth="1"/>
    <col min="7687" max="7687" width="22.21875" style="46" customWidth="1"/>
    <col min="7688" max="7688" width="45.5546875" style="46" customWidth="1"/>
    <col min="7689" max="7689" width="4.5546875" style="46" customWidth="1"/>
    <col min="7690" max="7690" width="46.5546875" style="46" bestFit="1" customWidth="1"/>
    <col min="7691" max="7691" width="13.77734375" style="46" bestFit="1" customWidth="1"/>
    <col min="7692" max="7693" width="10.5546875" style="46" bestFit="1" customWidth="1"/>
    <col min="7694" max="7937" width="9.21875" style="46"/>
    <col min="7938" max="7938" width="3.5546875" style="46" customWidth="1"/>
    <col min="7939" max="7939" width="6.5546875" style="46" customWidth="1"/>
    <col min="7940" max="7940" width="17.77734375" style="46" customWidth="1"/>
    <col min="7941" max="7941" width="4.5546875" style="46" customWidth="1"/>
    <col min="7942" max="7942" width="8.5546875" style="46" customWidth="1"/>
    <col min="7943" max="7943" width="22.21875" style="46" customWidth="1"/>
    <col min="7944" max="7944" width="45.5546875" style="46" customWidth="1"/>
    <col min="7945" max="7945" width="4.5546875" style="46" customWidth="1"/>
    <col min="7946" max="7946" width="46.5546875" style="46" bestFit="1" customWidth="1"/>
    <col min="7947" max="7947" width="13.77734375" style="46" bestFit="1" customWidth="1"/>
    <col min="7948" max="7949" width="10.5546875" style="46" bestFit="1" customWidth="1"/>
    <col min="7950" max="8193" width="9.21875" style="46"/>
    <col min="8194" max="8194" width="3.5546875" style="46" customWidth="1"/>
    <col min="8195" max="8195" width="6.5546875" style="46" customWidth="1"/>
    <col min="8196" max="8196" width="17.77734375" style="46" customWidth="1"/>
    <col min="8197" max="8197" width="4.5546875" style="46" customWidth="1"/>
    <col min="8198" max="8198" width="8.5546875" style="46" customWidth="1"/>
    <col min="8199" max="8199" width="22.21875" style="46" customWidth="1"/>
    <col min="8200" max="8200" width="45.5546875" style="46" customWidth="1"/>
    <col min="8201" max="8201" width="4.5546875" style="46" customWidth="1"/>
    <col min="8202" max="8202" width="46.5546875" style="46" bestFit="1" customWidth="1"/>
    <col min="8203" max="8203" width="13.77734375" style="46" bestFit="1" customWidth="1"/>
    <col min="8204" max="8205" width="10.5546875" style="46" bestFit="1" customWidth="1"/>
    <col min="8206" max="8449" width="9.21875" style="46"/>
    <col min="8450" max="8450" width="3.5546875" style="46" customWidth="1"/>
    <col min="8451" max="8451" width="6.5546875" style="46" customWidth="1"/>
    <col min="8452" max="8452" width="17.77734375" style="46" customWidth="1"/>
    <col min="8453" max="8453" width="4.5546875" style="46" customWidth="1"/>
    <col min="8454" max="8454" width="8.5546875" style="46" customWidth="1"/>
    <col min="8455" max="8455" width="22.21875" style="46" customWidth="1"/>
    <col min="8456" max="8456" width="45.5546875" style="46" customWidth="1"/>
    <col min="8457" max="8457" width="4.5546875" style="46" customWidth="1"/>
    <col min="8458" max="8458" width="46.5546875" style="46" bestFit="1" customWidth="1"/>
    <col min="8459" max="8459" width="13.77734375" style="46" bestFit="1" customWidth="1"/>
    <col min="8460" max="8461" width="10.5546875" style="46" bestFit="1" customWidth="1"/>
    <col min="8462" max="8705" width="9.21875" style="46"/>
    <col min="8706" max="8706" width="3.5546875" style="46" customWidth="1"/>
    <col min="8707" max="8707" width="6.5546875" style="46" customWidth="1"/>
    <col min="8708" max="8708" width="17.77734375" style="46" customWidth="1"/>
    <col min="8709" max="8709" width="4.5546875" style="46" customWidth="1"/>
    <col min="8710" max="8710" width="8.5546875" style="46" customWidth="1"/>
    <col min="8711" max="8711" width="22.21875" style="46" customWidth="1"/>
    <col min="8712" max="8712" width="45.5546875" style="46" customWidth="1"/>
    <col min="8713" max="8713" width="4.5546875" style="46" customWidth="1"/>
    <col min="8714" max="8714" width="46.5546875" style="46" bestFit="1" customWidth="1"/>
    <col min="8715" max="8715" width="13.77734375" style="46" bestFit="1" customWidth="1"/>
    <col min="8716" max="8717" width="10.5546875" style="46" bestFit="1" customWidth="1"/>
    <col min="8718" max="8961" width="9.21875" style="46"/>
    <col min="8962" max="8962" width="3.5546875" style="46" customWidth="1"/>
    <col min="8963" max="8963" width="6.5546875" style="46" customWidth="1"/>
    <col min="8964" max="8964" width="17.77734375" style="46" customWidth="1"/>
    <col min="8965" max="8965" width="4.5546875" style="46" customWidth="1"/>
    <col min="8966" max="8966" width="8.5546875" style="46" customWidth="1"/>
    <col min="8967" max="8967" width="22.21875" style="46" customWidth="1"/>
    <col min="8968" max="8968" width="45.5546875" style="46" customWidth="1"/>
    <col min="8969" max="8969" width="4.5546875" style="46" customWidth="1"/>
    <col min="8970" max="8970" width="46.5546875" style="46" bestFit="1" customWidth="1"/>
    <col min="8971" max="8971" width="13.77734375" style="46" bestFit="1" customWidth="1"/>
    <col min="8972" max="8973" width="10.5546875" style="46" bestFit="1" customWidth="1"/>
    <col min="8974" max="9217" width="9.21875" style="46"/>
    <col min="9218" max="9218" width="3.5546875" style="46" customWidth="1"/>
    <col min="9219" max="9219" width="6.5546875" style="46" customWidth="1"/>
    <col min="9220" max="9220" width="17.77734375" style="46" customWidth="1"/>
    <col min="9221" max="9221" width="4.5546875" style="46" customWidth="1"/>
    <col min="9222" max="9222" width="8.5546875" style="46" customWidth="1"/>
    <col min="9223" max="9223" width="22.21875" style="46" customWidth="1"/>
    <col min="9224" max="9224" width="45.5546875" style="46" customWidth="1"/>
    <col min="9225" max="9225" width="4.5546875" style="46" customWidth="1"/>
    <col min="9226" max="9226" width="46.5546875" style="46" bestFit="1" customWidth="1"/>
    <col min="9227" max="9227" width="13.77734375" style="46" bestFit="1" customWidth="1"/>
    <col min="9228" max="9229" width="10.5546875" style="46" bestFit="1" customWidth="1"/>
    <col min="9230" max="9473" width="9.21875" style="46"/>
    <col min="9474" max="9474" width="3.5546875" style="46" customWidth="1"/>
    <col min="9475" max="9475" width="6.5546875" style="46" customWidth="1"/>
    <col min="9476" max="9476" width="17.77734375" style="46" customWidth="1"/>
    <col min="9477" max="9477" width="4.5546875" style="46" customWidth="1"/>
    <col min="9478" max="9478" width="8.5546875" style="46" customWidth="1"/>
    <col min="9479" max="9479" width="22.21875" style="46" customWidth="1"/>
    <col min="9480" max="9480" width="45.5546875" style="46" customWidth="1"/>
    <col min="9481" max="9481" width="4.5546875" style="46" customWidth="1"/>
    <col min="9482" max="9482" width="46.5546875" style="46" bestFit="1" customWidth="1"/>
    <col min="9483" max="9483" width="13.77734375" style="46" bestFit="1" customWidth="1"/>
    <col min="9484" max="9485" width="10.5546875" style="46" bestFit="1" customWidth="1"/>
    <col min="9486" max="9729" width="9.21875" style="46"/>
    <col min="9730" max="9730" width="3.5546875" style="46" customWidth="1"/>
    <col min="9731" max="9731" width="6.5546875" style="46" customWidth="1"/>
    <col min="9732" max="9732" width="17.77734375" style="46" customWidth="1"/>
    <col min="9733" max="9733" width="4.5546875" style="46" customWidth="1"/>
    <col min="9734" max="9734" width="8.5546875" style="46" customWidth="1"/>
    <col min="9735" max="9735" width="22.21875" style="46" customWidth="1"/>
    <col min="9736" max="9736" width="45.5546875" style="46" customWidth="1"/>
    <col min="9737" max="9737" width="4.5546875" style="46" customWidth="1"/>
    <col min="9738" max="9738" width="46.5546875" style="46" bestFit="1" customWidth="1"/>
    <col min="9739" max="9739" width="13.77734375" style="46" bestFit="1" customWidth="1"/>
    <col min="9740" max="9741" width="10.5546875" style="46" bestFit="1" customWidth="1"/>
    <col min="9742" max="9985" width="9.21875" style="46"/>
    <col min="9986" max="9986" width="3.5546875" style="46" customWidth="1"/>
    <col min="9987" max="9987" width="6.5546875" style="46" customWidth="1"/>
    <col min="9988" max="9988" width="17.77734375" style="46" customWidth="1"/>
    <col min="9989" max="9989" width="4.5546875" style="46" customWidth="1"/>
    <col min="9990" max="9990" width="8.5546875" style="46" customWidth="1"/>
    <col min="9991" max="9991" width="22.21875" style="46" customWidth="1"/>
    <col min="9992" max="9992" width="45.5546875" style="46" customWidth="1"/>
    <col min="9993" max="9993" width="4.5546875" style="46" customWidth="1"/>
    <col min="9994" max="9994" width="46.5546875" style="46" bestFit="1" customWidth="1"/>
    <col min="9995" max="9995" width="13.77734375" style="46" bestFit="1" customWidth="1"/>
    <col min="9996" max="9997" width="10.5546875" style="46" bestFit="1" customWidth="1"/>
    <col min="9998" max="10241" width="9.21875" style="46"/>
    <col min="10242" max="10242" width="3.5546875" style="46" customWidth="1"/>
    <col min="10243" max="10243" width="6.5546875" style="46" customWidth="1"/>
    <col min="10244" max="10244" width="17.77734375" style="46" customWidth="1"/>
    <col min="10245" max="10245" width="4.5546875" style="46" customWidth="1"/>
    <col min="10246" max="10246" width="8.5546875" style="46" customWidth="1"/>
    <col min="10247" max="10247" width="22.21875" style="46" customWidth="1"/>
    <col min="10248" max="10248" width="45.5546875" style="46" customWidth="1"/>
    <col min="10249" max="10249" width="4.5546875" style="46" customWidth="1"/>
    <col min="10250" max="10250" width="46.5546875" style="46" bestFit="1" customWidth="1"/>
    <col min="10251" max="10251" width="13.77734375" style="46" bestFit="1" customWidth="1"/>
    <col min="10252" max="10253" width="10.5546875" style="46" bestFit="1" customWidth="1"/>
    <col min="10254" max="10497" width="9.21875" style="46"/>
    <col min="10498" max="10498" width="3.5546875" style="46" customWidth="1"/>
    <col min="10499" max="10499" width="6.5546875" style="46" customWidth="1"/>
    <col min="10500" max="10500" width="17.77734375" style="46" customWidth="1"/>
    <col min="10501" max="10501" width="4.5546875" style="46" customWidth="1"/>
    <col min="10502" max="10502" width="8.5546875" style="46" customWidth="1"/>
    <col min="10503" max="10503" width="22.21875" style="46" customWidth="1"/>
    <col min="10504" max="10504" width="45.5546875" style="46" customWidth="1"/>
    <col min="10505" max="10505" width="4.5546875" style="46" customWidth="1"/>
    <col min="10506" max="10506" width="46.5546875" style="46" bestFit="1" customWidth="1"/>
    <col min="10507" max="10507" width="13.77734375" style="46" bestFit="1" customWidth="1"/>
    <col min="10508" max="10509" width="10.5546875" style="46" bestFit="1" customWidth="1"/>
    <col min="10510" max="10753" width="9.21875" style="46"/>
    <col min="10754" max="10754" width="3.5546875" style="46" customWidth="1"/>
    <col min="10755" max="10755" width="6.5546875" style="46" customWidth="1"/>
    <col min="10756" max="10756" width="17.77734375" style="46" customWidth="1"/>
    <col min="10757" max="10757" width="4.5546875" style="46" customWidth="1"/>
    <col min="10758" max="10758" width="8.5546875" style="46" customWidth="1"/>
    <col min="10759" max="10759" width="22.21875" style="46" customWidth="1"/>
    <col min="10760" max="10760" width="45.5546875" style="46" customWidth="1"/>
    <col min="10761" max="10761" width="4.5546875" style="46" customWidth="1"/>
    <col min="10762" max="10762" width="46.5546875" style="46" bestFit="1" customWidth="1"/>
    <col min="10763" max="10763" width="13.77734375" style="46" bestFit="1" customWidth="1"/>
    <col min="10764" max="10765" width="10.5546875" style="46" bestFit="1" customWidth="1"/>
    <col min="10766" max="11009" width="9.21875" style="46"/>
    <col min="11010" max="11010" width="3.5546875" style="46" customWidth="1"/>
    <col min="11011" max="11011" width="6.5546875" style="46" customWidth="1"/>
    <col min="11012" max="11012" width="17.77734375" style="46" customWidth="1"/>
    <col min="11013" max="11013" width="4.5546875" style="46" customWidth="1"/>
    <col min="11014" max="11014" width="8.5546875" style="46" customWidth="1"/>
    <col min="11015" max="11015" width="22.21875" style="46" customWidth="1"/>
    <col min="11016" max="11016" width="45.5546875" style="46" customWidth="1"/>
    <col min="11017" max="11017" width="4.5546875" style="46" customWidth="1"/>
    <col min="11018" max="11018" width="46.5546875" style="46" bestFit="1" customWidth="1"/>
    <col min="11019" max="11019" width="13.77734375" style="46" bestFit="1" customWidth="1"/>
    <col min="11020" max="11021" width="10.5546875" style="46" bestFit="1" customWidth="1"/>
    <col min="11022" max="11265" width="9.21875" style="46"/>
    <col min="11266" max="11266" width="3.5546875" style="46" customWidth="1"/>
    <col min="11267" max="11267" width="6.5546875" style="46" customWidth="1"/>
    <col min="11268" max="11268" width="17.77734375" style="46" customWidth="1"/>
    <col min="11269" max="11269" width="4.5546875" style="46" customWidth="1"/>
    <col min="11270" max="11270" width="8.5546875" style="46" customWidth="1"/>
    <col min="11271" max="11271" width="22.21875" style="46" customWidth="1"/>
    <col min="11272" max="11272" width="45.5546875" style="46" customWidth="1"/>
    <col min="11273" max="11273" width="4.5546875" style="46" customWidth="1"/>
    <col min="11274" max="11274" width="46.5546875" style="46" bestFit="1" customWidth="1"/>
    <col min="11275" max="11275" width="13.77734375" style="46" bestFit="1" customWidth="1"/>
    <col min="11276" max="11277" width="10.5546875" style="46" bestFit="1" customWidth="1"/>
    <col min="11278" max="11521" width="9.21875" style="46"/>
    <col min="11522" max="11522" width="3.5546875" style="46" customWidth="1"/>
    <col min="11523" max="11523" width="6.5546875" style="46" customWidth="1"/>
    <col min="11524" max="11524" width="17.77734375" style="46" customWidth="1"/>
    <col min="11525" max="11525" width="4.5546875" style="46" customWidth="1"/>
    <col min="11526" max="11526" width="8.5546875" style="46" customWidth="1"/>
    <col min="11527" max="11527" width="22.21875" style="46" customWidth="1"/>
    <col min="11528" max="11528" width="45.5546875" style="46" customWidth="1"/>
    <col min="11529" max="11529" width="4.5546875" style="46" customWidth="1"/>
    <col min="11530" max="11530" width="46.5546875" style="46" bestFit="1" customWidth="1"/>
    <col min="11531" max="11531" width="13.77734375" style="46" bestFit="1" customWidth="1"/>
    <col min="11532" max="11533" width="10.5546875" style="46" bestFit="1" customWidth="1"/>
    <col min="11534" max="11777" width="9.21875" style="46"/>
    <col min="11778" max="11778" width="3.5546875" style="46" customWidth="1"/>
    <col min="11779" max="11779" width="6.5546875" style="46" customWidth="1"/>
    <col min="11780" max="11780" width="17.77734375" style="46" customWidth="1"/>
    <col min="11781" max="11781" width="4.5546875" style="46" customWidth="1"/>
    <col min="11782" max="11782" width="8.5546875" style="46" customWidth="1"/>
    <col min="11783" max="11783" width="22.21875" style="46" customWidth="1"/>
    <col min="11784" max="11784" width="45.5546875" style="46" customWidth="1"/>
    <col min="11785" max="11785" width="4.5546875" style="46" customWidth="1"/>
    <col min="11786" max="11786" width="46.5546875" style="46" bestFit="1" customWidth="1"/>
    <col min="11787" max="11787" width="13.77734375" style="46" bestFit="1" customWidth="1"/>
    <col min="11788" max="11789" width="10.5546875" style="46" bestFit="1" customWidth="1"/>
    <col min="11790" max="12033" width="9.21875" style="46"/>
    <col min="12034" max="12034" width="3.5546875" style="46" customWidth="1"/>
    <col min="12035" max="12035" width="6.5546875" style="46" customWidth="1"/>
    <col min="12036" max="12036" width="17.77734375" style="46" customWidth="1"/>
    <col min="12037" max="12037" width="4.5546875" style="46" customWidth="1"/>
    <col min="12038" max="12038" width="8.5546875" style="46" customWidth="1"/>
    <col min="12039" max="12039" width="22.21875" style="46" customWidth="1"/>
    <col min="12040" max="12040" width="45.5546875" style="46" customWidth="1"/>
    <col min="12041" max="12041" width="4.5546875" style="46" customWidth="1"/>
    <col min="12042" max="12042" width="46.5546875" style="46" bestFit="1" customWidth="1"/>
    <col min="12043" max="12043" width="13.77734375" style="46" bestFit="1" customWidth="1"/>
    <col min="12044" max="12045" width="10.5546875" style="46" bestFit="1" customWidth="1"/>
    <col min="12046" max="12289" width="9.21875" style="46"/>
    <col min="12290" max="12290" width="3.5546875" style="46" customWidth="1"/>
    <col min="12291" max="12291" width="6.5546875" style="46" customWidth="1"/>
    <col min="12292" max="12292" width="17.77734375" style="46" customWidth="1"/>
    <col min="12293" max="12293" width="4.5546875" style="46" customWidth="1"/>
    <col min="12294" max="12294" width="8.5546875" style="46" customWidth="1"/>
    <col min="12295" max="12295" width="22.21875" style="46" customWidth="1"/>
    <col min="12296" max="12296" width="45.5546875" style="46" customWidth="1"/>
    <col min="12297" max="12297" width="4.5546875" style="46" customWidth="1"/>
    <col min="12298" max="12298" width="46.5546875" style="46" bestFit="1" customWidth="1"/>
    <col min="12299" max="12299" width="13.77734375" style="46" bestFit="1" customWidth="1"/>
    <col min="12300" max="12301" width="10.5546875" style="46" bestFit="1" customWidth="1"/>
    <col min="12302" max="12545" width="9.21875" style="46"/>
    <col min="12546" max="12546" width="3.5546875" style="46" customWidth="1"/>
    <col min="12547" max="12547" width="6.5546875" style="46" customWidth="1"/>
    <col min="12548" max="12548" width="17.77734375" style="46" customWidth="1"/>
    <col min="12549" max="12549" width="4.5546875" style="46" customWidth="1"/>
    <col min="12550" max="12550" width="8.5546875" style="46" customWidth="1"/>
    <col min="12551" max="12551" width="22.21875" style="46" customWidth="1"/>
    <col min="12552" max="12552" width="45.5546875" style="46" customWidth="1"/>
    <col min="12553" max="12553" width="4.5546875" style="46" customWidth="1"/>
    <col min="12554" max="12554" width="46.5546875" style="46" bestFit="1" customWidth="1"/>
    <col min="12555" max="12555" width="13.77734375" style="46" bestFit="1" customWidth="1"/>
    <col min="12556" max="12557" width="10.5546875" style="46" bestFit="1" customWidth="1"/>
    <col min="12558" max="12801" width="9.21875" style="46"/>
    <col min="12802" max="12802" width="3.5546875" style="46" customWidth="1"/>
    <col min="12803" max="12803" width="6.5546875" style="46" customWidth="1"/>
    <col min="12804" max="12804" width="17.77734375" style="46" customWidth="1"/>
    <col min="12805" max="12805" width="4.5546875" style="46" customWidth="1"/>
    <col min="12806" max="12806" width="8.5546875" style="46" customWidth="1"/>
    <col min="12807" max="12807" width="22.21875" style="46" customWidth="1"/>
    <col min="12808" max="12808" width="45.5546875" style="46" customWidth="1"/>
    <col min="12809" max="12809" width="4.5546875" style="46" customWidth="1"/>
    <col min="12810" max="12810" width="46.5546875" style="46" bestFit="1" customWidth="1"/>
    <col min="12811" max="12811" width="13.77734375" style="46" bestFit="1" customWidth="1"/>
    <col min="12812" max="12813" width="10.5546875" style="46" bestFit="1" customWidth="1"/>
    <col min="12814" max="13057" width="9.21875" style="46"/>
    <col min="13058" max="13058" width="3.5546875" style="46" customWidth="1"/>
    <col min="13059" max="13059" width="6.5546875" style="46" customWidth="1"/>
    <col min="13060" max="13060" width="17.77734375" style="46" customWidth="1"/>
    <col min="13061" max="13061" width="4.5546875" style="46" customWidth="1"/>
    <col min="13062" max="13062" width="8.5546875" style="46" customWidth="1"/>
    <col min="13063" max="13063" width="22.21875" style="46" customWidth="1"/>
    <col min="13064" max="13064" width="45.5546875" style="46" customWidth="1"/>
    <col min="13065" max="13065" width="4.5546875" style="46" customWidth="1"/>
    <col min="13066" max="13066" width="46.5546875" style="46" bestFit="1" customWidth="1"/>
    <col min="13067" max="13067" width="13.77734375" style="46" bestFit="1" customWidth="1"/>
    <col min="13068" max="13069" width="10.5546875" style="46" bestFit="1" customWidth="1"/>
    <col min="13070" max="13313" width="9.21875" style="46"/>
    <col min="13314" max="13314" width="3.5546875" style="46" customWidth="1"/>
    <col min="13315" max="13315" width="6.5546875" style="46" customWidth="1"/>
    <col min="13316" max="13316" width="17.77734375" style="46" customWidth="1"/>
    <col min="13317" max="13317" width="4.5546875" style="46" customWidth="1"/>
    <col min="13318" max="13318" width="8.5546875" style="46" customWidth="1"/>
    <col min="13319" max="13319" width="22.21875" style="46" customWidth="1"/>
    <col min="13320" max="13320" width="45.5546875" style="46" customWidth="1"/>
    <col min="13321" max="13321" width="4.5546875" style="46" customWidth="1"/>
    <col min="13322" max="13322" width="46.5546875" style="46" bestFit="1" customWidth="1"/>
    <col min="13323" max="13323" width="13.77734375" style="46" bestFit="1" customWidth="1"/>
    <col min="13324" max="13325" width="10.5546875" style="46" bestFit="1" customWidth="1"/>
    <col min="13326" max="13569" width="9.21875" style="46"/>
    <col min="13570" max="13570" width="3.5546875" style="46" customWidth="1"/>
    <col min="13571" max="13571" width="6.5546875" style="46" customWidth="1"/>
    <col min="13572" max="13572" width="17.77734375" style="46" customWidth="1"/>
    <col min="13573" max="13573" width="4.5546875" style="46" customWidth="1"/>
    <col min="13574" max="13574" width="8.5546875" style="46" customWidth="1"/>
    <col min="13575" max="13575" width="22.21875" style="46" customWidth="1"/>
    <col min="13576" max="13576" width="45.5546875" style="46" customWidth="1"/>
    <col min="13577" max="13577" width="4.5546875" style="46" customWidth="1"/>
    <col min="13578" max="13578" width="46.5546875" style="46" bestFit="1" customWidth="1"/>
    <col min="13579" max="13579" width="13.77734375" style="46" bestFit="1" customWidth="1"/>
    <col min="13580" max="13581" width="10.5546875" style="46" bestFit="1" customWidth="1"/>
    <col min="13582" max="13825" width="9.21875" style="46"/>
    <col min="13826" max="13826" width="3.5546875" style="46" customWidth="1"/>
    <col min="13827" max="13827" width="6.5546875" style="46" customWidth="1"/>
    <col min="13828" max="13828" width="17.77734375" style="46" customWidth="1"/>
    <col min="13829" max="13829" width="4.5546875" style="46" customWidth="1"/>
    <col min="13830" max="13830" width="8.5546875" style="46" customWidth="1"/>
    <col min="13831" max="13831" width="22.21875" style="46" customWidth="1"/>
    <col min="13832" max="13832" width="45.5546875" style="46" customWidth="1"/>
    <col min="13833" max="13833" width="4.5546875" style="46" customWidth="1"/>
    <col min="13834" max="13834" width="46.5546875" style="46" bestFit="1" customWidth="1"/>
    <col min="13835" max="13835" width="13.77734375" style="46" bestFit="1" customWidth="1"/>
    <col min="13836" max="13837" width="10.5546875" style="46" bestFit="1" customWidth="1"/>
    <col min="13838" max="14081" width="9.21875" style="46"/>
    <col min="14082" max="14082" width="3.5546875" style="46" customWidth="1"/>
    <col min="14083" max="14083" width="6.5546875" style="46" customWidth="1"/>
    <col min="14084" max="14084" width="17.77734375" style="46" customWidth="1"/>
    <col min="14085" max="14085" width="4.5546875" style="46" customWidth="1"/>
    <col min="14086" max="14086" width="8.5546875" style="46" customWidth="1"/>
    <col min="14087" max="14087" width="22.21875" style="46" customWidth="1"/>
    <col min="14088" max="14088" width="45.5546875" style="46" customWidth="1"/>
    <col min="14089" max="14089" width="4.5546875" style="46" customWidth="1"/>
    <col min="14090" max="14090" width="46.5546875" style="46" bestFit="1" customWidth="1"/>
    <col min="14091" max="14091" width="13.77734375" style="46" bestFit="1" customWidth="1"/>
    <col min="14092" max="14093" width="10.5546875" style="46" bestFit="1" customWidth="1"/>
    <col min="14094" max="14337" width="9.21875" style="46"/>
    <col min="14338" max="14338" width="3.5546875" style="46" customWidth="1"/>
    <col min="14339" max="14339" width="6.5546875" style="46" customWidth="1"/>
    <col min="14340" max="14340" width="17.77734375" style="46" customWidth="1"/>
    <col min="14341" max="14341" width="4.5546875" style="46" customWidth="1"/>
    <col min="14342" max="14342" width="8.5546875" style="46" customWidth="1"/>
    <col min="14343" max="14343" width="22.21875" style="46" customWidth="1"/>
    <col min="14344" max="14344" width="45.5546875" style="46" customWidth="1"/>
    <col min="14345" max="14345" width="4.5546875" style="46" customWidth="1"/>
    <col min="14346" max="14346" width="46.5546875" style="46" bestFit="1" customWidth="1"/>
    <col min="14347" max="14347" width="13.77734375" style="46" bestFit="1" customWidth="1"/>
    <col min="14348" max="14349" width="10.5546875" style="46" bestFit="1" customWidth="1"/>
    <col min="14350" max="14593" width="9.21875" style="46"/>
    <col min="14594" max="14594" width="3.5546875" style="46" customWidth="1"/>
    <col min="14595" max="14595" width="6.5546875" style="46" customWidth="1"/>
    <col min="14596" max="14596" width="17.77734375" style="46" customWidth="1"/>
    <col min="14597" max="14597" width="4.5546875" style="46" customWidth="1"/>
    <col min="14598" max="14598" width="8.5546875" style="46" customWidth="1"/>
    <col min="14599" max="14599" width="22.21875" style="46" customWidth="1"/>
    <col min="14600" max="14600" width="45.5546875" style="46" customWidth="1"/>
    <col min="14601" max="14601" width="4.5546875" style="46" customWidth="1"/>
    <col min="14602" max="14602" width="46.5546875" style="46" bestFit="1" customWidth="1"/>
    <col min="14603" max="14603" width="13.77734375" style="46" bestFit="1" customWidth="1"/>
    <col min="14604" max="14605" width="10.5546875" style="46" bestFit="1" customWidth="1"/>
    <col min="14606" max="14849" width="9.21875" style="46"/>
    <col min="14850" max="14850" width="3.5546875" style="46" customWidth="1"/>
    <col min="14851" max="14851" width="6.5546875" style="46" customWidth="1"/>
    <col min="14852" max="14852" width="17.77734375" style="46" customWidth="1"/>
    <col min="14853" max="14853" width="4.5546875" style="46" customWidth="1"/>
    <col min="14854" max="14854" width="8.5546875" style="46" customWidth="1"/>
    <col min="14855" max="14855" width="22.21875" style="46" customWidth="1"/>
    <col min="14856" max="14856" width="45.5546875" style="46" customWidth="1"/>
    <col min="14857" max="14857" width="4.5546875" style="46" customWidth="1"/>
    <col min="14858" max="14858" width="46.5546875" style="46" bestFit="1" customWidth="1"/>
    <col min="14859" max="14859" width="13.77734375" style="46" bestFit="1" customWidth="1"/>
    <col min="14860" max="14861" width="10.5546875" style="46" bestFit="1" customWidth="1"/>
    <col min="14862" max="15105" width="9.21875" style="46"/>
    <col min="15106" max="15106" width="3.5546875" style="46" customWidth="1"/>
    <col min="15107" max="15107" width="6.5546875" style="46" customWidth="1"/>
    <col min="15108" max="15108" width="17.77734375" style="46" customWidth="1"/>
    <col min="15109" max="15109" width="4.5546875" style="46" customWidth="1"/>
    <col min="15110" max="15110" width="8.5546875" style="46" customWidth="1"/>
    <col min="15111" max="15111" width="22.21875" style="46" customWidth="1"/>
    <col min="15112" max="15112" width="45.5546875" style="46" customWidth="1"/>
    <col min="15113" max="15113" width="4.5546875" style="46" customWidth="1"/>
    <col min="15114" max="15114" width="46.5546875" style="46" bestFit="1" customWidth="1"/>
    <col min="15115" max="15115" width="13.77734375" style="46" bestFit="1" customWidth="1"/>
    <col min="15116" max="15117" width="10.5546875" style="46" bestFit="1" customWidth="1"/>
    <col min="15118" max="15361" width="9.21875" style="46"/>
    <col min="15362" max="15362" width="3.5546875" style="46" customWidth="1"/>
    <col min="15363" max="15363" width="6.5546875" style="46" customWidth="1"/>
    <col min="15364" max="15364" width="17.77734375" style="46" customWidth="1"/>
    <col min="15365" max="15365" width="4.5546875" style="46" customWidth="1"/>
    <col min="15366" max="15366" width="8.5546875" style="46" customWidth="1"/>
    <col min="15367" max="15367" width="22.21875" style="46" customWidth="1"/>
    <col min="15368" max="15368" width="45.5546875" style="46" customWidth="1"/>
    <col min="15369" max="15369" width="4.5546875" style="46" customWidth="1"/>
    <col min="15370" max="15370" width="46.5546875" style="46" bestFit="1" customWidth="1"/>
    <col min="15371" max="15371" width="13.77734375" style="46" bestFit="1" customWidth="1"/>
    <col min="15372" max="15373" width="10.5546875" style="46" bestFit="1" customWidth="1"/>
    <col min="15374" max="15617" width="9.21875" style="46"/>
    <col min="15618" max="15618" width="3.5546875" style="46" customWidth="1"/>
    <col min="15619" max="15619" width="6.5546875" style="46" customWidth="1"/>
    <col min="15620" max="15620" width="17.77734375" style="46" customWidth="1"/>
    <col min="15621" max="15621" width="4.5546875" style="46" customWidth="1"/>
    <col min="15622" max="15622" width="8.5546875" style="46" customWidth="1"/>
    <col min="15623" max="15623" width="22.21875" style="46" customWidth="1"/>
    <col min="15624" max="15624" width="45.5546875" style="46" customWidth="1"/>
    <col min="15625" max="15625" width="4.5546875" style="46" customWidth="1"/>
    <col min="15626" max="15626" width="46.5546875" style="46" bestFit="1" customWidth="1"/>
    <col min="15627" max="15627" width="13.77734375" style="46" bestFit="1" customWidth="1"/>
    <col min="15628" max="15629" width="10.5546875" style="46" bestFit="1" customWidth="1"/>
    <col min="15630" max="15873" width="9.21875" style="46"/>
    <col min="15874" max="15874" width="3.5546875" style="46" customWidth="1"/>
    <col min="15875" max="15875" width="6.5546875" style="46" customWidth="1"/>
    <col min="15876" max="15876" width="17.77734375" style="46" customWidth="1"/>
    <col min="15877" max="15877" width="4.5546875" style="46" customWidth="1"/>
    <col min="15878" max="15878" width="8.5546875" style="46" customWidth="1"/>
    <col min="15879" max="15879" width="22.21875" style="46" customWidth="1"/>
    <col min="15880" max="15880" width="45.5546875" style="46" customWidth="1"/>
    <col min="15881" max="15881" width="4.5546875" style="46" customWidth="1"/>
    <col min="15882" max="15882" width="46.5546875" style="46" bestFit="1" customWidth="1"/>
    <col min="15883" max="15883" width="13.77734375" style="46" bestFit="1" customWidth="1"/>
    <col min="15884" max="15885" width="10.5546875" style="46" bestFit="1" customWidth="1"/>
    <col min="15886" max="16129" width="9.21875" style="46"/>
    <col min="16130" max="16130" width="3.5546875" style="46" customWidth="1"/>
    <col min="16131" max="16131" width="6.5546875" style="46" customWidth="1"/>
    <col min="16132" max="16132" width="17.77734375" style="46" customWidth="1"/>
    <col min="16133" max="16133" width="4.5546875" style="46" customWidth="1"/>
    <col min="16134" max="16134" width="8.5546875" style="46" customWidth="1"/>
    <col min="16135" max="16135" width="22.21875" style="46" customWidth="1"/>
    <col min="16136" max="16136" width="45.5546875" style="46" customWidth="1"/>
    <col min="16137" max="16137" width="4.5546875" style="46" customWidth="1"/>
    <col min="16138" max="16138" width="46.5546875" style="46" bestFit="1" customWidth="1"/>
    <col min="16139" max="16139" width="13.77734375" style="46" bestFit="1" customWidth="1"/>
    <col min="16140" max="16141" width="10.5546875" style="46" bestFit="1" customWidth="1"/>
    <col min="16142" max="16384" width="9.21875" style="46"/>
  </cols>
  <sheetData>
    <row r="5" spans="2:9" x14ac:dyDescent="0.3">
      <c r="B5" s="43" t="s">
        <v>74</v>
      </c>
    </row>
    <row r="6" spans="2:9" s="48" customFormat="1" x14ac:dyDescent="0.3">
      <c r="B6" s="47" t="s">
        <v>75</v>
      </c>
      <c r="C6" s="142" t="str">
        <f>'[1]Covering Letter '!D5</f>
        <v>CS/0066/2025</v>
      </c>
      <c r="D6" s="299"/>
      <c r="E6" s="143"/>
      <c r="F6" s="112"/>
      <c r="G6" s="143"/>
      <c r="I6" s="109"/>
    </row>
    <row r="7" spans="2:9" x14ac:dyDescent="0.3">
      <c r="B7" s="43"/>
    </row>
    <row r="8" spans="2:9" x14ac:dyDescent="0.3">
      <c r="B8" s="43"/>
    </row>
    <row r="9" spans="2:9" ht="20.399999999999999" customHeight="1" x14ac:dyDescent="0.3">
      <c r="B9" s="363" t="s">
        <v>592</v>
      </c>
      <c r="C9" s="364"/>
      <c r="D9" s="364"/>
      <c r="E9" s="364"/>
      <c r="F9" s="364"/>
      <c r="G9" s="365"/>
    </row>
    <row r="10" spans="2:9" x14ac:dyDescent="0.3">
      <c r="B10" s="294" t="s">
        <v>42</v>
      </c>
      <c r="C10" s="147"/>
      <c r="D10" s="300"/>
      <c r="E10" s="366" t="s">
        <v>43</v>
      </c>
      <c r="F10" s="366"/>
      <c r="G10" s="366"/>
    </row>
    <row r="11" spans="2:9" x14ac:dyDescent="0.3">
      <c r="B11" s="295" t="s">
        <v>44</v>
      </c>
      <c r="C11" s="296"/>
      <c r="D11" s="297"/>
      <c r="E11" s="366" t="s">
        <v>45</v>
      </c>
      <c r="F11" s="366"/>
      <c r="G11" s="366"/>
    </row>
    <row r="12" spans="2:9" x14ac:dyDescent="0.3">
      <c r="B12" s="43"/>
    </row>
    <row r="13" spans="2:9" ht="16.2" x14ac:dyDescent="0.3">
      <c r="B13" s="45" t="s">
        <v>46</v>
      </c>
      <c r="C13" s="45" t="s">
        <v>332</v>
      </c>
      <c r="D13" s="301" t="s">
        <v>333</v>
      </c>
      <c r="E13" s="149" t="s">
        <v>334</v>
      </c>
      <c r="F13" s="45" t="s">
        <v>335</v>
      </c>
      <c r="G13" s="45" t="s">
        <v>336</v>
      </c>
    </row>
    <row r="14" spans="2:9" x14ac:dyDescent="0.3">
      <c r="B14" s="27">
        <v>1</v>
      </c>
      <c r="C14" s="258" t="s">
        <v>337</v>
      </c>
      <c r="D14" s="302" t="s">
        <v>338</v>
      </c>
      <c r="E14" s="259" t="s">
        <v>339</v>
      </c>
      <c r="F14" s="260" t="s">
        <v>340</v>
      </c>
      <c r="G14" s="27"/>
    </row>
    <row r="15" spans="2:9" x14ac:dyDescent="0.3">
      <c r="B15" s="27">
        <v>2</v>
      </c>
      <c r="C15" s="261" t="s">
        <v>341</v>
      </c>
      <c r="D15" s="262" t="s">
        <v>338</v>
      </c>
      <c r="E15" s="259" t="s">
        <v>339</v>
      </c>
      <c r="F15" s="260" t="s">
        <v>340</v>
      </c>
      <c r="G15" s="27"/>
    </row>
    <row r="16" spans="2:9" x14ac:dyDescent="0.3">
      <c r="B16" s="27">
        <v>3</v>
      </c>
      <c r="C16" s="261" t="s">
        <v>342</v>
      </c>
      <c r="D16" s="262" t="s">
        <v>343</v>
      </c>
      <c r="E16" s="259" t="s">
        <v>339</v>
      </c>
      <c r="F16" s="260" t="s">
        <v>344</v>
      </c>
      <c r="G16" s="27" t="s">
        <v>337</v>
      </c>
    </row>
    <row r="17" spans="2:8" x14ac:dyDescent="0.3">
      <c r="B17" s="27">
        <v>4</v>
      </c>
      <c r="C17" s="261" t="s">
        <v>345</v>
      </c>
      <c r="D17" s="262" t="s">
        <v>343</v>
      </c>
      <c r="E17" s="259" t="s">
        <v>339</v>
      </c>
      <c r="F17" s="260" t="s">
        <v>346</v>
      </c>
      <c r="G17" s="27" t="s">
        <v>337</v>
      </c>
    </row>
    <row r="18" spans="2:8" x14ac:dyDescent="0.3">
      <c r="B18" s="27">
        <v>5</v>
      </c>
      <c r="C18" s="261" t="s">
        <v>347</v>
      </c>
      <c r="D18" s="262" t="s">
        <v>343</v>
      </c>
      <c r="E18" s="259" t="s">
        <v>339</v>
      </c>
      <c r="F18" s="260" t="s">
        <v>348</v>
      </c>
      <c r="G18" s="27" t="s">
        <v>337</v>
      </c>
    </row>
    <row r="19" spans="2:8" x14ac:dyDescent="0.3">
      <c r="B19" s="27">
        <v>6</v>
      </c>
      <c r="C19" s="261" t="s">
        <v>349</v>
      </c>
      <c r="D19" s="262" t="s">
        <v>343</v>
      </c>
      <c r="E19" s="259" t="s">
        <v>339</v>
      </c>
      <c r="F19" s="260" t="s">
        <v>350</v>
      </c>
      <c r="G19" s="27" t="s">
        <v>337</v>
      </c>
    </row>
    <row r="20" spans="2:8" ht="28.8" x14ac:dyDescent="0.3">
      <c r="B20" s="27">
        <v>7</v>
      </c>
      <c r="C20" s="261" t="s">
        <v>351</v>
      </c>
      <c r="D20" s="262" t="s">
        <v>352</v>
      </c>
      <c r="E20" s="259" t="s">
        <v>339</v>
      </c>
      <c r="F20" s="260" t="s">
        <v>353</v>
      </c>
      <c r="G20" s="27" t="s">
        <v>337</v>
      </c>
    </row>
    <row r="21" spans="2:8" x14ac:dyDescent="0.3">
      <c r="B21" s="27">
        <v>8</v>
      </c>
      <c r="C21" s="261" t="s">
        <v>354</v>
      </c>
      <c r="D21" s="262" t="s">
        <v>355</v>
      </c>
      <c r="E21" s="259" t="s">
        <v>339</v>
      </c>
      <c r="F21" s="260" t="s">
        <v>356</v>
      </c>
      <c r="G21" s="27" t="s">
        <v>337</v>
      </c>
    </row>
    <row r="22" spans="2:8" x14ac:dyDescent="0.3">
      <c r="B22" s="27">
        <v>9</v>
      </c>
      <c r="C22" s="261" t="s">
        <v>357</v>
      </c>
      <c r="D22" s="262" t="s">
        <v>358</v>
      </c>
      <c r="E22" s="259" t="s">
        <v>339</v>
      </c>
      <c r="F22" s="260" t="s">
        <v>359</v>
      </c>
      <c r="G22" s="27" t="s">
        <v>337</v>
      </c>
    </row>
    <row r="23" spans="2:8" x14ac:dyDescent="0.3">
      <c r="B23" s="27">
        <v>10</v>
      </c>
      <c r="C23" s="261" t="s">
        <v>360</v>
      </c>
      <c r="D23" s="262" t="s">
        <v>361</v>
      </c>
      <c r="E23" s="259" t="s">
        <v>339</v>
      </c>
      <c r="F23" s="260" t="s">
        <v>362</v>
      </c>
      <c r="G23" s="27" t="s">
        <v>342</v>
      </c>
    </row>
    <row r="24" spans="2:8" x14ac:dyDescent="0.3">
      <c r="B24" s="27">
        <v>11</v>
      </c>
      <c r="C24" s="258" t="s">
        <v>363</v>
      </c>
      <c r="D24" s="302" t="s">
        <v>361</v>
      </c>
      <c r="E24" s="259" t="s">
        <v>364</v>
      </c>
      <c r="F24" s="260" t="s">
        <v>362</v>
      </c>
      <c r="G24" s="27" t="s">
        <v>342</v>
      </c>
    </row>
    <row r="25" spans="2:8" x14ac:dyDescent="0.3">
      <c r="B25" s="27">
        <v>12</v>
      </c>
      <c r="C25" s="263" t="s">
        <v>365</v>
      </c>
      <c r="D25" s="303" t="s">
        <v>361</v>
      </c>
      <c r="E25" s="259" t="s">
        <v>339</v>
      </c>
      <c r="F25" s="260" t="s">
        <v>362</v>
      </c>
      <c r="G25" s="27" t="s">
        <v>342</v>
      </c>
    </row>
    <row r="26" spans="2:8" x14ac:dyDescent="0.3">
      <c r="B26" s="27">
        <v>13</v>
      </c>
      <c r="C26" s="263" t="s">
        <v>366</v>
      </c>
      <c r="D26" s="303" t="s">
        <v>361</v>
      </c>
      <c r="E26" s="259" t="s">
        <v>339</v>
      </c>
      <c r="F26" s="260" t="s">
        <v>367</v>
      </c>
      <c r="G26" s="27" t="s">
        <v>342</v>
      </c>
      <c r="H26" s="144"/>
    </row>
    <row r="27" spans="2:8" x14ac:dyDescent="0.3">
      <c r="B27" s="27">
        <v>14</v>
      </c>
      <c r="C27" s="263" t="s">
        <v>368</v>
      </c>
      <c r="D27" s="303" t="s">
        <v>361</v>
      </c>
      <c r="E27" s="259" t="s">
        <v>339</v>
      </c>
      <c r="F27" s="260" t="s">
        <v>367</v>
      </c>
      <c r="G27" s="27" t="s">
        <v>342</v>
      </c>
      <c r="H27" s="145"/>
    </row>
    <row r="28" spans="2:8" x14ac:dyDescent="0.3">
      <c r="B28" s="27">
        <v>15</v>
      </c>
      <c r="C28" s="263" t="s">
        <v>369</v>
      </c>
      <c r="D28" s="303" t="s">
        <v>361</v>
      </c>
      <c r="E28" s="259" t="s">
        <v>364</v>
      </c>
      <c r="F28" s="260" t="s">
        <v>367</v>
      </c>
      <c r="G28" s="27" t="s">
        <v>342</v>
      </c>
    </row>
    <row r="29" spans="2:8" x14ac:dyDescent="0.3">
      <c r="B29" s="27">
        <v>16</v>
      </c>
      <c r="C29" s="263" t="s">
        <v>370</v>
      </c>
      <c r="D29" s="303" t="s">
        <v>361</v>
      </c>
      <c r="E29" s="259" t="s">
        <v>339</v>
      </c>
      <c r="F29" s="260" t="s">
        <v>371</v>
      </c>
      <c r="G29" s="27" t="s">
        <v>342</v>
      </c>
    </row>
    <row r="30" spans="2:8" x14ac:dyDescent="0.3">
      <c r="B30" s="27">
        <v>17</v>
      </c>
      <c r="C30" s="263" t="s">
        <v>372</v>
      </c>
      <c r="D30" s="303" t="s">
        <v>361</v>
      </c>
      <c r="E30" s="259" t="s">
        <v>339</v>
      </c>
      <c r="F30" s="260" t="s">
        <v>371</v>
      </c>
      <c r="G30" s="27" t="s">
        <v>342</v>
      </c>
    </row>
    <row r="31" spans="2:8" x14ac:dyDescent="0.3">
      <c r="B31" s="27">
        <v>18</v>
      </c>
      <c r="C31" s="263" t="s">
        <v>373</v>
      </c>
      <c r="D31" s="303" t="s">
        <v>361</v>
      </c>
      <c r="E31" s="259" t="s">
        <v>364</v>
      </c>
      <c r="F31" s="260" t="s">
        <v>371</v>
      </c>
      <c r="G31" s="27" t="s">
        <v>342</v>
      </c>
      <c r="H31" s="144"/>
    </row>
    <row r="32" spans="2:8" x14ac:dyDescent="0.3">
      <c r="B32" s="27">
        <v>19</v>
      </c>
      <c r="C32" s="264" t="s">
        <v>374</v>
      </c>
      <c r="D32" s="304" t="s">
        <v>361</v>
      </c>
      <c r="E32" s="259" t="s">
        <v>339</v>
      </c>
      <c r="F32" s="265" t="s">
        <v>375</v>
      </c>
      <c r="G32" s="266" t="s">
        <v>342</v>
      </c>
      <c r="H32" s="58"/>
    </row>
    <row r="33" spans="2:9" x14ac:dyDescent="0.3">
      <c r="B33" s="27">
        <v>20</v>
      </c>
      <c r="C33" s="258" t="s">
        <v>376</v>
      </c>
      <c r="D33" s="302" t="s">
        <v>361</v>
      </c>
      <c r="E33" s="259" t="s">
        <v>364</v>
      </c>
      <c r="F33" s="267" t="s">
        <v>375</v>
      </c>
      <c r="G33" s="150" t="s">
        <v>342</v>
      </c>
      <c r="H33" s="58"/>
    </row>
    <row r="34" spans="2:9" x14ac:dyDescent="0.3">
      <c r="B34" s="27">
        <v>21</v>
      </c>
      <c r="C34" s="268" t="s">
        <v>377</v>
      </c>
      <c r="D34" s="305" t="s">
        <v>361</v>
      </c>
      <c r="E34" s="150" t="s">
        <v>364</v>
      </c>
      <c r="F34" s="269" t="s">
        <v>378</v>
      </c>
      <c r="G34" s="270" t="s">
        <v>342</v>
      </c>
      <c r="H34" s="58"/>
      <c r="I34" s="146"/>
    </row>
    <row r="35" spans="2:9" x14ac:dyDescent="0.3">
      <c r="B35" s="27">
        <v>22</v>
      </c>
      <c r="C35" s="163" t="s">
        <v>379</v>
      </c>
      <c r="D35" s="306" t="s">
        <v>361</v>
      </c>
      <c r="E35" s="150" t="s">
        <v>339</v>
      </c>
      <c r="F35" s="271" t="s">
        <v>378</v>
      </c>
      <c r="G35" s="272" t="s">
        <v>342</v>
      </c>
    </row>
    <row r="36" spans="2:9" x14ac:dyDescent="0.3">
      <c r="B36" s="27">
        <v>23</v>
      </c>
      <c r="C36" s="163" t="s">
        <v>380</v>
      </c>
      <c r="D36" s="306" t="s">
        <v>361</v>
      </c>
      <c r="E36" s="150" t="s">
        <v>339</v>
      </c>
      <c r="F36" s="271" t="s">
        <v>378</v>
      </c>
      <c r="G36" s="272" t="s">
        <v>342</v>
      </c>
    </row>
    <row r="37" spans="2:9" x14ac:dyDescent="0.3">
      <c r="B37" s="27">
        <v>24</v>
      </c>
      <c r="C37" s="163" t="s">
        <v>381</v>
      </c>
      <c r="D37" s="306" t="s">
        <v>361</v>
      </c>
      <c r="E37" s="150" t="s">
        <v>364</v>
      </c>
      <c r="F37" s="271" t="s">
        <v>382</v>
      </c>
      <c r="G37" s="272" t="s">
        <v>342</v>
      </c>
    </row>
    <row r="38" spans="2:9" x14ac:dyDescent="0.3">
      <c r="B38" s="27">
        <v>25</v>
      </c>
      <c r="C38" s="163" t="s">
        <v>383</v>
      </c>
      <c r="D38" s="306" t="s">
        <v>361</v>
      </c>
      <c r="E38" s="150" t="s">
        <v>339</v>
      </c>
      <c r="F38" s="271" t="s">
        <v>382</v>
      </c>
      <c r="G38" s="272" t="s">
        <v>342</v>
      </c>
    </row>
    <row r="39" spans="2:9" x14ac:dyDescent="0.3">
      <c r="B39" s="27">
        <v>26</v>
      </c>
      <c r="C39" s="163" t="s">
        <v>384</v>
      </c>
      <c r="D39" s="306" t="s">
        <v>361</v>
      </c>
      <c r="E39" s="150" t="s">
        <v>364</v>
      </c>
      <c r="F39" s="271" t="s">
        <v>385</v>
      </c>
      <c r="G39" s="272" t="s">
        <v>342</v>
      </c>
    </row>
    <row r="40" spans="2:9" x14ac:dyDescent="0.3">
      <c r="B40" s="27">
        <v>27</v>
      </c>
      <c r="C40" s="163" t="s">
        <v>386</v>
      </c>
      <c r="D40" s="306" t="s">
        <v>361</v>
      </c>
      <c r="E40" s="150" t="s">
        <v>339</v>
      </c>
      <c r="F40" s="271" t="s">
        <v>385</v>
      </c>
      <c r="G40" s="272" t="s">
        <v>342</v>
      </c>
    </row>
    <row r="41" spans="2:9" x14ac:dyDescent="0.3">
      <c r="B41" s="27">
        <v>28</v>
      </c>
      <c r="C41" s="163" t="s">
        <v>387</v>
      </c>
      <c r="D41" s="306" t="s">
        <v>361</v>
      </c>
      <c r="E41" s="150" t="s">
        <v>364</v>
      </c>
      <c r="F41" s="271" t="s">
        <v>388</v>
      </c>
      <c r="G41" s="272" t="s">
        <v>342</v>
      </c>
    </row>
    <row r="42" spans="2:9" x14ac:dyDescent="0.3">
      <c r="B42" s="27">
        <v>29</v>
      </c>
      <c r="C42" s="163" t="s">
        <v>389</v>
      </c>
      <c r="D42" s="306" t="s">
        <v>361</v>
      </c>
      <c r="E42" s="150" t="s">
        <v>339</v>
      </c>
      <c r="F42" s="271" t="s">
        <v>388</v>
      </c>
      <c r="G42" s="272" t="s">
        <v>342</v>
      </c>
    </row>
    <row r="43" spans="2:9" x14ac:dyDescent="0.3">
      <c r="B43" s="27">
        <v>30</v>
      </c>
      <c r="C43" s="163" t="s">
        <v>390</v>
      </c>
      <c r="D43" s="306" t="s">
        <v>361</v>
      </c>
      <c r="E43" s="150" t="s">
        <v>339</v>
      </c>
      <c r="F43" s="271" t="s">
        <v>391</v>
      </c>
      <c r="G43" s="272" t="s">
        <v>345</v>
      </c>
    </row>
    <row r="44" spans="2:9" x14ac:dyDescent="0.3">
      <c r="B44" s="27">
        <v>31</v>
      </c>
      <c r="C44" s="163" t="s">
        <v>392</v>
      </c>
      <c r="D44" s="306" t="s">
        <v>361</v>
      </c>
      <c r="E44" s="150" t="s">
        <v>364</v>
      </c>
      <c r="F44" s="271" t="s">
        <v>391</v>
      </c>
      <c r="G44" s="272" t="s">
        <v>345</v>
      </c>
    </row>
    <row r="45" spans="2:9" x14ac:dyDescent="0.3">
      <c r="B45" s="27">
        <v>32</v>
      </c>
      <c r="C45" s="163" t="s">
        <v>393</v>
      </c>
      <c r="D45" s="306" t="s">
        <v>361</v>
      </c>
      <c r="E45" s="150" t="s">
        <v>339</v>
      </c>
      <c r="F45" s="271" t="s">
        <v>391</v>
      </c>
      <c r="G45" s="272" t="s">
        <v>345</v>
      </c>
    </row>
    <row r="46" spans="2:9" x14ac:dyDescent="0.3">
      <c r="B46" s="27">
        <v>33</v>
      </c>
      <c r="C46" s="163" t="s">
        <v>394</v>
      </c>
      <c r="D46" s="306" t="s">
        <v>361</v>
      </c>
      <c r="E46" s="150" t="s">
        <v>339</v>
      </c>
      <c r="F46" s="271" t="s">
        <v>395</v>
      </c>
      <c r="G46" s="272" t="s">
        <v>345</v>
      </c>
    </row>
    <row r="47" spans="2:9" x14ac:dyDescent="0.3">
      <c r="B47" s="27">
        <v>34</v>
      </c>
      <c r="C47" s="163" t="s">
        <v>396</v>
      </c>
      <c r="D47" s="306" t="s">
        <v>361</v>
      </c>
      <c r="E47" s="150" t="s">
        <v>364</v>
      </c>
      <c r="F47" s="260" t="s">
        <v>395</v>
      </c>
      <c r="G47" s="27" t="s">
        <v>345</v>
      </c>
    </row>
    <row r="48" spans="2:9" x14ac:dyDescent="0.3">
      <c r="B48" s="27">
        <v>35</v>
      </c>
      <c r="C48" s="163" t="s">
        <v>397</v>
      </c>
      <c r="D48" s="306" t="s">
        <v>361</v>
      </c>
      <c r="E48" s="150" t="s">
        <v>339</v>
      </c>
      <c r="F48" s="260" t="s">
        <v>398</v>
      </c>
      <c r="G48" s="27" t="s">
        <v>345</v>
      </c>
    </row>
    <row r="49" spans="2:7" x14ac:dyDescent="0.3">
      <c r="B49" s="27">
        <v>36</v>
      </c>
      <c r="C49" s="163" t="s">
        <v>399</v>
      </c>
      <c r="D49" s="306" t="s">
        <v>361</v>
      </c>
      <c r="E49" s="150" t="s">
        <v>339</v>
      </c>
      <c r="F49" s="273" t="s">
        <v>400</v>
      </c>
      <c r="G49" s="27" t="s">
        <v>345</v>
      </c>
    </row>
    <row r="50" spans="2:7" x14ac:dyDescent="0.3">
      <c r="B50" s="27">
        <v>37</v>
      </c>
      <c r="C50" s="163" t="s">
        <v>401</v>
      </c>
      <c r="D50" s="306" t="s">
        <v>361</v>
      </c>
      <c r="E50" s="150" t="s">
        <v>364</v>
      </c>
      <c r="F50" s="273"/>
      <c r="G50" s="27" t="s">
        <v>345</v>
      </c>
    </row>
    <row r="51" spans="2:7" x14ac:dyDescent="0.3">
      <c r="B51" s="27">
        <v>38</v>
      </c>
      <c r="C51" s="163" t="s">
        <v>402</v>
      </c>
      <c r="D51" s="306" t="s">
        <v>361</v>
      </c>
      <c r="E51" s="150" t="s">
        <v>339</v>
      </c>
      <c r="F51" s="273" t="s">
        <v>403</v>
      </c>
      <c r="G51" s="27" t="s">
        <v>345</v>
      </c>
    </row>
    <row r="52" spans="2:7" x14ac:dyDescent="0.3">
      <c r="B52" s="27">
        <v>39</v>
      </c>
      <c r="C52" s="163" t="s">
        <v>404</v>
      </c>
      <c r="D52" s="306" t="s">
        <v>361</v>
      </c>
      <c r="E52" s="150" t="s">
        <v>364</v>
      </c>
      <c r="F52" s="273" t="s">
        <v>405</v>
      </c>
      <c r="G52" s="27" t="s">
        <v>345</v>
      </c>
    </row>
    <row r="53" spans="2:7" x14ac:dyDescent="0.3">
      <c r="B53" s="27">
        <v>40</v>
      </c>
      <c r="C53" s="163" t="s">
        <v>406</v>
      </c>
      <c r="D53" s="306" t="s">
        <v>361</v>
      </c>
      <c r="E53" s="150" t="s">
        <v>339</v>
      </c>
      <c r="F53" s="273" t="s">
        <v>407</v>
      </c>
      <c r="G53" s="27" t="s">
        <v>345</v>
      </c>
    </row>
    <row r="54" spans="2:7" x14ac:dyDescent="0.3">
      <c r="B54" s="27">
        <v>41</v>
      </c>
      <c r="C54" s="163" t="s">
        <v>408</v>
      </c>
      <c r="D54" s="306" t="s">
        <v>361</v>
      </c>
      <c r="E54" s="150" t="s">
        <v>364</v>
      </c>
      <c r="F54" s="273" t="s">
        <v>409</v>
      </c>
      <c r="G54" s="27" t="s">
        <v>345</v>
      </c>
    </row>
    <row r="55" spans="2:7" x14ac:dyDescent="0.3">
      <c r="B55" s="27">
        <v>42</v>
      </c>
      <c r="C55" s="163" t="s">
        <v>410</v>
      </c>
      <c r="D55" s="306" t="s">
        <v>361</v>
      </c>
      <c r="E55" s="150" t="s">
        <v>339</v>
      </c>
      <c r="F55" s="273" t="s">
        <v>411</v>
      </c>
      <c r="G55" s="27" t="s">
        <v>345</v>
      </c>
    </row>
    <row r="56" spans="2:7" x14ac:dyDescent="0.3">
      <c r="B56" s="27">
        <v>43</v>
      </c>
      <c r="C56" s="163" t="s">
        <v>412</v>
      </c>
      <c r="D56" s="306" t="s">
        <v>361</v>
      </c>
      <c r="E56" s="150" t="s">
        <v>339</v>
      </c>
      <c r="F56" s="273" t="s">
        <v>411</v>
      </c>
      <c r="G56" s="27" t="s">
        <v>345</v>
      </c>
    </row>
    <row r="57" spans="2:7" x14ac:dyDescent="0.3">
      <c r="B57" s="27">
        <v>44</v>
      </c>
      <c r="C57" s="163" t="s">
        <v>413</v>
      </c>
      <c r="D57" s="306" t="s">
        <v>361</v>
      </c>
      <c r="E57" s="150" t="s">
        <v>339</v>
      </c>
      <c r="F57" s="273" t="s">
        <v>414</v>
      </c>
      <c r="G57" s="27" t="s">
        <v>345</v>
      </c>
    </row>
    <row r="58" spans="2:7" x14ac:dyDescent="0.3">
      <c r="B58" s="27">
        <v>45</v>
      </c>
      <c r="C58" s="163" t="s">
        <v>415</v>
      </c>
      <c r="D58" s="306" t="s">
        <v>361</v>
      </c>
      <c r="E58" s="150" t="s">
        <v>339</v>
      </c>
      <c r="F58" s="273" t="s">
        <v>416</v>
      </c>
      <c r="G58" s="27" t="s">
        <v>347</v>
      </c>
    </row>
    <row r="59" spans="2:7" x14ac:dyDescent="0.3">
      <c r="B59" s="27">
        <v>46</v>
      </c>
      <c r="C59" s="163" t="s">
        <v>417</v>
      </c>
      <c r="D59" s="306" t="s">
        <v>361</v>
      </c>
      <c r="E59" s="150" t="s">
        <v>339</v>
      </c>
      <c r="F59" s="273" t="s">
        <v>418</v>
      </c>
      <c r="G59" s="27" t="s">
        <v>347</v>
      </c>
    </row>
    <row r="60" spans="2:7" x14ac:dyDescent="0.3">
      <c r="B60" s="27">
        <v>47</v>
      </c>
      <c r="C60" s="163" t="s">
        <v>419</v>
      </c>
      <c r="D60" s="306" t="s">
        <v>361</v>
      </c>
      <c r="E60" s="150" t="s">
        <v>339</v>
      </c>
      <c r="F60" s="273" t="s">
        <v>420</v>
      </c>
      <c r="G60" s="27" t="s">
        <v>347</v>
      </c>
    </row>
    <row r="61" spans="2:7" x14ac:dyDescent="0.3">
      <c r="B61" s="27">
        <v>48</v>
      </c>
      <c r="C61" s="274" t="s">
        <v>421</v>
      </c>
      <c r="D61" s="307" t="s">
        <v>361</v>
      </c>
      <c r="E61" s="153" t="s">
        <v>339</v>
      </c>
      <c r="F61" s="275" t="s">
        <v>422</v>
      </c>
      <c r="G61" s="266" t="s">
        <v>347</v>
      </c>
    </row>
    <row r="62" spans="2:7" x14ac:dyDescent="0.3">
      <c r="B62" s="27">
        <v>49</v>
      </c>
      <c r="C62" s="148" t="s">
        <v>423</v>
      </c>
      <c r="D62" s="308" t="s">
        <v>361</v>
      </c>
      <c r="E62" s="150" t="s">
        <v>339</v>
      </c>
      <c r="F62" s="151" t="s">
        <v>424</v>
      </c>
      <c r="G62" s="150" t="s">
        <v>347</v>
      </c>
    </row>
    <row r="63" spans="2:7" x14ac:dyDescent="0.3">
      <c r="B63" s="27">
        <v>50</v>
      </c>
      <c r="C63" s="148" t="s">
        <v>425</v>
      </c>
      <c r="D63" s="308" t="s">
        <v>361</v>
      </c>
      <c r="E63" s="150" t="s">
        <v>339</v>
      </c>
      <c r="F63" s="151" t="s">
        <v>426</v>
      </c>
      <c r="G63" s="150" t="s">
        <v>347</v>
      </c>
    </row>
    <row r="64" spans="2:7" x14ac:dyDescent="0.3">
      <c r="B64" s="27">
        <v>51</v>
      </c>
      <c r="C64" s="148" t="s">
        <v>427</v>
      </c>
      <c r="D64" s="308" t="s">
        <v>361</v>
      </c>
      <c r="E64" s="150" t="s">
        <v>339</v>
      </c>
      <c r="F64" s="151" t="s">
        <v>428</v>
      </c>
      <c r="G64" s="150" t="s">
        <v>347</v>
      </c>
    </row>
    <row r="65" spans="2:7" x14ac:dyDescent="0.3">
      <c r="B65" s="27">
        <v>52</v>
      </c>
      <c r="C65" s="148" t="s">
        <v>429</v>
      </c>
      <c r="D65" s="308" t="s">
        <v>361</v>
      </c>
      <c r="E65" s="150" t="s">
        <v>339</v>
      </c>
      <c r="F65" s="151" t="s">
        <v>428</v>
      </c>
      <c r="G65" s="150" t="s">
        <v>347</v>
      </c>
    </row>
    <row r="66" spans="2:7" x14ac:dyDescent="0.3">
      <c r="B66" s="27">
        <v>53</v>
      </c>
      <c r="C66" s="148" t="s">
        <v>593</v>
      </c>
      <c r="D66" s="308" t="s">
        <v>361</v>
      </c>
      <c r="E66" s="150" t="s">
        <v>364</v>
      </c>
      <c r="F66" s="151" t="s">
        <v>428</v>
      </c>
      <c r="G66" s="150" t="s">
        <v>347</v>
      </c>
    </row>
    <row r="67" spans="2:7" x14ac:dyDescent="0.3">
      <c r="B67" s="27">
        <v>54</v>
      </c>
      <c r="C67" s="148" t="s">
        <v>430</v>
      </c>
      <c r="D67" s="308" t="s">
        <v>361</v>
      </c>
      <c r="E67" s="150" t="s">
        <v>339</v>
      </c>
      <c r="F67" s="151" t="s">
        <v>431</v>
      </c>
      <c r="G67" s="150" t="s">
        <v>347</v>
      </c>
    </row>
    <row r="68" spans="2:7" x14ac:dyDescent="0.3">
      <c r="B68" s="27">
        <v>55</v>
      </c>
      <c r="C68" s="148" t="s">
        <v>432</v>
      </c>
      <c r="D68" s="308" t="s">
        <v>361</v>
      </c>
      <c r="E68" s="150" t="s">
        <v>364</v>
      </c>
      <c r="F68" s="151" t="s">
        <v>431</v>
      </c>
      <c r="G68" s="150" t="s">
        <v>347</v>
      </c>
    </row>
    <row r="69" spans="2:7" x14ac:dyDescent="0.3">
      <c r="B69" s="27">
        <v>56</v>
      </c>
      <c r="C69" s="148" t="s">
        <v>433</v>
      </c>
      <c r="D69" s="308" t="s">
        <v>361</v>
      </c>
      <c r="E69" s="150" t="s">
        <v>339</v>
      </c>
      <c r="F69" s="151" t="s">
        <v>434</v>
      </c>
      <c r="G69" s="150" t="s">
        <v>347</v>
      </c>
    </row>
    <row r="70" spans="2:7" x14ac:dyDescent="0.3">
      <c r="B70" s="27">
        <v>57</v>
      </c>
      <c r="C70" s="148" t="s">
        <v>435</v>
      </c>
      <c r="D70" s="308" t="s">
        <v>361</v>
      </c>
      <c r="E70" s="150" t="s">
        <v>339</v>
      </c>
      <c r="F70" s="151" t="s">
        <v>434</v>
      </c>
      <c r="G70" s="150" t="s">
        <v>347</v>
      </c>
    </row>
    <row r="71" spans="2:7" x14ac:dyDescent="0.3">
      <c r="B71" s="27">
        <v>58</v>
      </c>
      <c r="C71" s="148" t="s">
        <v>436</v>
      </c>
      <c r="D71" s="308" t="s">
        <v>361</v>
      </c>
      <c r="E71" s="150" t="s">
        <v>339</v>
      </c>
      <c r="F71" s="151" t="s">
        <v>437</v>
      </c>
      <c r="G71" s="150" t="s">
        <v>438</v>
      </c>
    </row>
    <row r="72" spans="2:7" x14ac:dyDescent="0.3">
      <c r="B72" s="27">
        <v>59</v>
      </c>
      <c r="C72" s="148" t="s">
        <v>594</v>
      </c>
      <c r="D72" s="308" t="s">
        <v>361</v>
      </c>
      <c r="E72" s="150" t="s">
        <v>364</v>
      </c>
      <c r="F72" s="151" t="s">
        <v>439</v>
      </c>
      <c r="G72" s="150" t="s">
        <v>438</v>
      </c>
    </row>
    <row r="73" spans="2:7" x14ac:dyDescent="0.3">
      <c r="B73" s="27">
        <v>60</v>
      </c>
      <c r="C73" s="148" t="s">
        <v>440</v>
      </c>
      <c r="D73" s="308" t="s">
        <v>361</v>
      </c>
      <c r="E73" s="150" t="s">
        <v>339</v>
      </c>
      <c r="F73" s="151" t="s">
        <v>439</v>
      </c>
      <c r="G73" s="150" t="s">
        <v>438</v>
      </c>
    </row>
    <row r="74" spans="2:7" x14ac:dyDescent="0.3">
      <c r="B74" s="27">
        <v>61</v>
      </c>
      <c r="C74" s="148" t="s">
        <v>441</v>
      </c>
      <c r="D74" s="308" t="s">
        <v>361</v>
      </c>
      <c r="E74" s="150" t="s">
        <v>339</v>
      </c>
      <c r="F74" s="151" t="s">
        <v>442</v>
      </c>
      <c r="G74" s="150" t="s">
        <v>438</v>
      </c>
    </row>
    <row r="75" spans="2:7" x14ac:dyDescent="0.3">
      <c r="B75" s="27">
        <v>62</v>
      </c>
      <c r="C75" s="148" t="s">
        <v>443</v>
      </c>
      <c r="D75" s="308" t="s">
        <v>361</v>
      </c>
      <c r="E75" s="150" t="s">
        <v>364</v>
      </c>
      <c r="F75" s="151" t="s">
        <v>442</v>
      </c>
      <c r="G75" s="150" t="s">
        <v>438</v>
      </c>
    </row>
    <row r="76" spans="2:7" x14ac:dyDescent="0.3">
      <c r="B76" s="27">
        <v>63</v>
      </c>
      <c r="C76" s="148" t="s">
        <v>444</v>
      </c>
      <c r="D76" s="308" t="s">
        <v>361</v>
      </c>
      <c r="E76" s="150" t="s">
        <v>339</v>
      </c>
      <c r="F76" s="151" t="s">
        <v>445</v>
      </c>
      <c r="G76" s="150" t="s">
        <v>438</v>
      </c>
    </row>
    <row r="77" spans="2:7" x14ac:dyDescent="0.3">
      <c r="B77" s="27">
        <v>64</v>
      </c>
      <c r="C77" s="148" t="s">
        <v>446</v>
      </c>
      <c r="D77" s="308" t="s">
        <v>361</v>
      </c>
      <c r="E77" s="150" t="s">
        <v>339</v>
      </c>
      <c r="F77" s="151" t="s">
        <v>447</v>
      </c>
      <c r="G77" s="150" t="s">
        <v>438</v>
      </c>
    </row>
    <row r="78" spans="2:7" x14ac:dyDescent="0.3">
      <c r="B78" s="27">
        <v>65</v>
      </c>
      <c r="C78" s="148" t="s">
        <v>448</v>
      </c>
      <c r="D78" s="308" t="s">
        <v>361</v>
      </c>
      <c r="E78" s="150" t="s">
        <v>339</v>
      </c>
      <c r="F78" s="151" t="s">
        <v>449</v>
      </c>
      <c r="G78" s="150" t="s">
        <v>438</v>
      </c>
    </row>
    <row r="79" spans="2:7" x14ac:dyDescent="0.3">
      <c r="B79" s="27">
        <v>66</v>
      </c>
      <c r="C79" s="148" t="s">
        <v>450</v>
      </c>
      <c r="D79" s="308" t="s">
        <v>361</v>
      </c>
      <c r="E79" s="150" t="s">
        <v>339</v>
      </c>
      <c r="F79" s="151" t="s">
        <v>451</v>
      </c>
      <c r="G79" s="150" t="s">
        <v>438</v>
      </c>
    </row>
    <row r="80" spans="2:7" x14ac:dyDescent="0.3">
      <c r="B80" s="27">
        <v>67</v>
      </c>
      <c r="C80" s="148" t="s">
        <v>452</v>
      </c>
      <c r="D80" s="308" t="s">
        <v>361</v>
      </c>
      <c r="E80" s="150" t="s">
        <v>339</v>
      </c>
      <c r="F80" s="151" t="s">
        <v>453</v>
      </c>
      <c r="G80" s="150" t="s">
        <v>438</v>
      </c>
    </row>
    <row r="81" spans="2:7" x14ac:dyDescent="0.3">
      <c r="B81" s="27">
        <v>68</v>
      </c>
      <c r="C81" s="148" t="s">
        <v>454</v>
      </c>
      <c r="D81" s="308" t="s">
        <v>361</v>
      </c>
      <c r="E81" s="150" t="s">
        <v>339</v>
      </c>
      <c r="F81" s="151" t="s">
        <v>455</v>
      </c>
      <c r="G81" s="150" t="s">
        <v>349</v>
      </c>
    </row>
    <row r="82" spans="2:7" x14ac:dyDescent="0.3">
      <c r="B82" s="27">
        <v>69</v>
      </c>
      <c r="C82" s="148" t="s">
        <v>456</v>
      </c>
      <c r="D82" s="308" t="s">
        <v>361</v>
      </c>
      <c r="E82" s="150" t="s">
        <v>339</v>
      </c>
      <c r="F82" s="151" t="s">
        <v>457</v>
      </c>
      <c r="G82" s="150" t="s">
        <v>349</v>
      </c>
    </row>
    <row r="83" spans="2:7" x14ac:dyDescent="0.3">
      <c r="B83" s="27">
        <v>70</v>
      </c>
      <c r="C83" s="148" t="s">
        <v>458</v>
      </c>
      <c r="D83" s="308" t="s">
        <v>361</v>
      </c>
      <c r="E83" s="150" t="s">
        <v>339</v>
      </c>
      <c r="F83" s="151" t="s">
        <v>459</v>
      </c>
      <c r="G83" s="150" t="s">
        <v>349</v>
      </c>
    </row>
    <row r="84" spans="2:7" x14ac:dyDescent="0.3">
      <c r="B84" s="27">
        <v>71</v>
      </c>
      <c r="C84" s="148" t="s">
        <v>460</v>
      </c>
      <c r="D84" s="308" t="s">
        <v>361</v>
      </c>
      <c r="E84" s="150" t="s">
        <v>339</v>
      </c>
      <c r="F84" s="151" t="s">
        <v>461</v>
      </c>
      <c r="G84" s="150" t="s">
        <v>349</v>
      </c>
    </row>
    <row r="85" spans="2:7" x14ac:dyDescent="0.3">
      <c r="B85" s="27">
        <v>72</v>
      </c>
      <c r="C85" s="148" t="s">
        <v>462</v>
      </c>
      <c r="D85" s="308" t="s">
        <v>361</v>
      </c>
      <c r="E85" s="150" t="s">
        <v>364</v>
      </c>
      <c r="F85" s="151" t="s">
        <v>463</v>
      </c>
      <c r="G85" s="150" t="s">
        <v>349</v>
      </c>
    </row>
    <row r="86" spans="2:7" x14ac:dyDescent="0.3">
      <c r="B86" s="27">
        <v>73</v>
      </c>
      <c r="C86" s="148" t="s">
        <v>464</v>
      </c>
      <c r="D86" s="308" t="s">
        <v>361</v>
      </c>
      <c r="E86" s="150" t="s">
        <v>364</v>
      </c>
      <c r="F86" s="151" t="s">
        <v>465</v>
      </c>
      <c r="G86" s="150" t="s">
        <v>349</v>
      </c>
    </row>
    <row r="87" spans="2:7" x14ac:dyDescent="0.3">
      <c r="B87" s="27">
        <v>74</v>
      </c>
      <c r="C87" s="148" t="s">
        <v>466</v>
      </c>
      <c r="D87" s="308" t="s">
        <v>361</v>
      </c>
      <c r="E87" s="150" t="s">
        <v>339</v>
      </c>
      <c r="F87" s="151" t="s">
        <v>467</v>
      </c>
      <c r="G87" s="150" t="s">
        <v>349</v>
      </c>
    </row>
    <row r="88" spans="2:7" x14ac:dyDescent="0.3">
      <c r="B88" s="27">
        <v>75</v>
      </c>
      <c r="C88" s="148" t="s">
        <v>468</v>
      </c>
      <c r="D88" s="308" t="s">
        <v>361</v>
      </c>
      <c r="E88" s="150" t="s">
        <v>339</v>
      </c>
      <c r="F88" s="151" t="s">
        <v>469</v>
      </c>
      <c r="G88" s="150" t="s">
        <v>349</v>
      </c>
    </row>
    <row r="89" spans="2:7" x14ac:dyDescent="0.3">
      <c r="B89" s="27">
        <v>76</v>
      </c>
      <c r="C89" s="148" t="s">
        <v>470</v>
      </c>
      <c r="D89" s="308" t="s">
        <v>361</v>
      </c>
      <c r="E89" s="150" t="s">
        <v>339</v>
      </c>
      <c r="F89" s="151" t="s">
        <v>471</v>
      </c>
      <c r="G89" s="150" t="s">
        <v>349</v>
      </c>
    </row>
    <row r="90" spans="2:7" x14ac:dyDescent="0.3">
      <c r="B90" s="27">
        <v>77</v>
      </c>
      <c r="C90" s="148" t="s">
        <v>360</v>
      </c>
      <c r="D90" s="308" t="s">
        <v>361</v>
      </c>
      <c r="E90" s="150" t="s">
        <v>339</v>
      </c>
      <c r="F90" s="151" t="s">
        <v>472</v>
      </c>
      <c r="G90" s="150" t="s">
        <v>349</v>
      </c>
    </row>
    <row r="91" spans="2:7" x14ac:dyDescent="0.3">
      <c r="B91" s="27">
        <v>78</v>
      </c>
      <c r="C91" s="148" t="s">
        <v>473</v>
      </c>
      <c r="D91" s="308" t="s">
        <v>361</v>
      </c>
      <c r="E91" s="150" t="s">
        <v>339</v>
      </c>
      <c r="F91" s="151" t="s">
        <v>474</v>
      </c>
      <c r="G91" s="150" t="s">
        <v>349</v>
      </c>
    </row>
    <row r="92" spans="2:7" x14ac:dyDescent="0.3">
      <c r="B92" s="27">
        <v>79</v>
      </c>
      <c r="C92" s="148" t="s">
        <v>475</v>
      </c>
      <c r="D92" s="308" t="s">
        <v>476</v>
      </c>
      <c r="E92" s="150" t="s">
        <v>339</v>
      </c>
      <c r="F92" s="151" t="s">
        <v>477</v>
      </c>
      <c r="G92" s="150" t="s">
        <v>351</v>
      </c>
    </row>
    <row r="93" spans="2:7" x14ac:dyDescent="0.3">
      <c r="B93" s="27">
        <v>80</v>
      </c>
      <c r="C93" s="148" t="s">
        <v>478</v>
      </c>
      <c r="D93" s="308" t="s">
        <v>476</v>
      </c>
      <c r="E93" s="150" t="s">
        <v>339</v>
      </c>
      <c r="F93" s="151" t="s">
        <v>479</v>
      </c>
      <c r="G93" s="150" t="s">
        <v>351</v>
      </c>
    </row>
    <row r="94" spans="2:7" x14ac:dyDescent="0.3">
      <c r="B94" s="27">
        <v>81</v>
      </c>
      <c r="C94" s="148" t="s">
        <v>480</v>
      </c>
      <c r="D94" s="308" t="s">
        <v>476</v>
      </c>
      <c r="E94" s="150" t="s">
        <v>339</v>
      </c>
      <c r="F94" s="151" t="s">
        <v>481</v>
      </c>
      <c r="G94" s="150" t="s">
        <v>351</v>
      </c>
    </row>
    <row r="95" spans="2:7" x14ac:dyDescent="0.3">
      <c r="B95" s="27">
        <v>82</v>
      </c>
      <c r="C95" s="148" t="s">
        <v>595</v>
      </c>
      <c r="D95" s="308" t="s">
        <v>476</v>
      </c>
      <c r="E95" s="150" t="s">
        <v>339</v>
      </c>
      <c r="F95" s="151" t="s">
        <v>507</v>
      </c>
      <c r="G95" s="150" t="s">
        <v>337</v>
      </c>
    </row>
    <row r="96" spans="2:7" x14ac:dyDescent="0.3">
      <c r="B96" s="27">
        <v>83</v>
      </c>
      <c r="C96" s="152" t="s">
        <v>596</v>
      </c>
      <c r="D96" s="309" t="s">
        <v>476</v>
      </c>
      <c r="E96" s="153" t="s">
        <v>364</v>
      </c>
      <c r="F96" s="154" t="s">
        <v>507</v>
      </c>
      <c r="G96" s="153" t="s">
        <v>337</v>
      </c>
    </row>
    <row r="97" spans="2:7" x14ac:dyDescent="0.3">
      <c r="B97" s="27">
        <v>84</v>
      </c>
      <c r="C97" s="152" t="s">
        <v>597</v>
      </c>
      <c r="D97" s="309" t="s">
        <v>476</v>
      </c>
      <c r="E97" s="153" t="s">
        <v>339</v>
      </c>
      <c r="F97" s="154" t="s">
        <v>507</v>
      </c>
      <c r="G97" s="27" t="s">
        <v>337</v>
      </c>
    </row>
    <row r="98" spans="2:7" x14ac:dyDescent="0.3">
      <c r="B98" s="27">
        <v>85</v>
      </c>
      <c r="C98" s="152" t="s">
        <v>598</v>
      </c>
      <c r="D98" s="309" t="s">
        <v>476</v>
      </c>
      <c r="E98" s="153" t="s">
        <v>339</v>
      </c>
      <c r="F98" s="154" t="s">
        <v>599</v>
      </c>
      <c r="G98" s="27" t="s">
        <v>337</v>
      </c>
    </row>
    <row r="99" spans="2:7" x14ac:dyDescent="0.3">
      <c r="B99" s="27">
        <v>86</v>
      </c>
      <c r="C99" s="152" t="s">
        <v>600</v>
      </c>
      <c r="D99" s="309" t="s">
        <v>476</v>
      </c>
      <c r="E99" s="153" t="s">
        <v>339</v>
      </c>
      <c r="F99" s="154" t="s">
        <v>601</v>
      </c>
      <c r="G99" s="27" t="s">
        <v>337</v>
      </c>
    </row>
    <row r="100" spans="2:7" x14ac:dyDescent="0.3">
      <c r="B100" s="27">
        <v>87</v>
      </c>
      <c r="C100" s="152" t="s">
        <v>602</v>
      </c>
      <c r="D100" s="309" t="s">
        <v>476</v>
      </c>
      <c r="E100" s="289" t="s">
        <v>339</v>
      </c>
      <c r="F100" s="154" t="s">
        <v>601</v>
      </c>
      <c r="G100" s="27" t="s">
        <v>337</v>
      </c>
    </row>
    <row r="101" spans="2:7" x14ac:dyDescent="0.3">
      <c r="B101" s="27">
        <v>88</v>
      </c>
      <c r="C101" s="152" t="s">
        <v>603</v>
      </c>
      <c r="D101" s="309" t="s">
        <v>476</v>
      </c>
      <c r="E101" s="289" t="s">
        <v>339</v>
      </c>
      <c r="F101" s="154" t="s">
        <v>507</v>
      </c>
      <c r="G101" s="27" t="s">
        <v>337</v>
      </c>
    </row>
    <row r="102" spans="2:7" x14ac:dyDescent="0.3">
      <c r="B102" s="27">
        <v>89</v>
      </c>
      <c r="C102" s="152" t="s">
        <v>604</v>
      </c>
      <c r="D102" s="309" t="s">
        <v>476</v>
      </c>
      <c r="E102" s="289" t="s">
        <v>339</v>
      </c>
      <c r="F102" s="154" t="s">
        <v>507</v>
      </c>
      <c r="G102" s="27" t="s">
        <v>337</v>
      </c>
    </row>
    <row r="103" spans="2:7" x14ac:dyDescent="0.3">
      <c r="B103" s="27">
        <v>90</v>
      </c>
      <c r="C103" s="152" t="s">
        <v>605</v>
      </c>
      <c r="D103" s="309" t="s">
        <v>476</v>
      </c>
      <c r="E103" s="289" t="s">
        <v>339</v>
      </c>
      <c r="F103" s="154" t="s">
        <v>507</v>
      </c>
      <c r="G103" s="27" t="s">
        <v>337</v>
      </c>
    </row>
    <row r="104" spans="2:7" x14ac:dyDescent="0.3">
      <c r="B104" s="27">
        <v>91</v>
      </c>
      <c r="C104" s="152" t="s">
        <v>606</v>
      </c>
      <c r="D104" s="309" t="s">
        <v>476</v>
      </c>
      <c r="E104" s="289" t="s">
        <v>339</v>
      </c>
      <c r="F104" s="154" t="s">
        <v>607</v>
      </c>
      <c r="G104" s="27" t="s">
        <v>337</v>
      </c>
    </row>
    <row r="105" spans="2:7" x14ac:dyDescent="0.3">
      <c r="B105" s="27">
        <v>92</v>
      </c>
      <c r="C105" s="152" t="s">
        <v>589</v>
      </c>
      <c r="D105" s="309" t="s">
        <v>589</v>
      </c>
      <c r="E105" s="289" t="s">
        <v>589</v>
      </c>
      <c r="F105" s="154" t="s">
        <v>589</v>
      </c>
      <c r="G105" s="27" t="s">
        <v>589</v>
      </c>
    </row>
    <row r="106" spans="2:7" x14ac:dyDescent="0.3">
      <c r="B106" s="27">
        <v>93</v>
      </c>
      <c r="C106" s="152" t="s">
        <v>589</v>
      </c>
      <c r="D106" s="309" t="s">
        <v>589</v>
      </c>
      <c r="E106" s="289" t="s">
        <v>589</v>
      </c>
      <c r="F106" s="154" t="s">
        <v>589</v>
      </c>
      <c r="G106" s="27" t="s">
        <v>589</v>
      </c>
    </row>
    <row r="107" spans="2:7" x14ac:dyDescent="0.3">
      <c r="B107" s="27">
        <v>94</v>
      </c>
      <c r="C107" s="152" t="s">
        <v>589</v>
      </c>
      <c r="D107" s="309" t="s">
        <v>589</v>
      </c>
      <c r="E107" s="289" t="s">
        <v>589</v>
      </c>
      <c r="F107" s="154" t="s">
        <v>589</v>
      </c>
      <c r="G107" s="27" t="s">
        <v>589</v>
      </c>
    </row>
    <row r="108" spans="2:7" x14ac:dyDescent="0.3">
      <c r="B108" s="27">
        <v>95</v>
      </c>
      <c r="C108" s="152" t="s">
        <v>589</v>
      </c>
      <c r="D108" s="309" t="s">
        <v>589</v>
      </c>
      <c r="E108" s="289" t="s">
        <v>589</v>
      </c>
      <c r="F108" s="154" t="s">
        <v>589</v>
      </c>
      <c r="G108" s="27" t="s">
        <v>589</v>
      </c>
    </row>
    <row r="109" spans="2:7" x14ac:dyDescent="0.3">
      <c r="B109" s="27">
        <v>96</v>
      </c>
      <c r="C109" s="148" t="s">
        <v>482</v>
      </c>
      <c r="D109" s="151" t="s">
        <v>483</v>
      </c>
      <c r="E109" s="290" t="s">
        <v>364</v>
      </c>
      <c r="F109" s="163" t="s">
        <v>362</v>
      </c>
      <c r="G109" s="27" t="s">
        <v>342</v>
      </c>
    </row>
    <row r="110" spans="2:7" x14ac:dyDescent="0.3">
      <c r="B110" s="27">
        <v>97</v>
      </c>
      <c r="C110" s="148" t="s">
        <v>484</v>
      </c>
      <c r="D110" s="151" t="s">
        <v>485</v>
      </c>
      <c r="E110" s="290" t="s">
        <v>339</v>
      </c>
      <c r="F110" s="163" t="s">
        <v>362</v>
      </c>
      <c r="G110" s="27" t="s">
        <v>342</v>
      </c>
    </row>
    <row r="111" spans="2:7" x14ac:dyDescent="0.3">
      <c r="B111" s="27">
        <v>98</v>
      </c>
      <c r="C111" s="148" t="s">
        <v>486</v>
      </c>
      <c r="D111" s="151" t="s">
        <v>485</v>
      </c>
      <c r="E111" s="290" t="s">
        <v>339</v>
      </c>
      <c r="F111" s="163" t="s">
        <v>367</v>
      </c>
      <c r="G111" s="27" t="s">
        <v>342</v>
      </c>
    </row>
    <row r="112" spans="2:7" x14ac:dyDescent="0.3">
      <c r="B112" s="27">
        <v>99</v>
      </c>
      <c r="C112" s="148" t="s">
        <v>487</v>
      </c>
      <c r="D112" s="151" t="s">
        <v>485</v>
      </c>
      <c r="E112" s="290" t="s">
        <v>339</v>
      </c>
      <c r="F112" s="163" t="s">
        <v>371</v>
      </c>
      <c r="G112" s="27" t="s">
        <v>342</v>
      </c>
    </row>
    <row r="113" spans="2:7" x14ac:dyDescent="0.3">
      <c r="B113" s="27">
        <v>100</v>
      </c>
      <c r="C113" s="148" t="s">
        <v>488</v>
      </c>
      <c r="D113" s="151" t="s">
        <v>485</v>
      </c>
      <c r="E113" s="290" t="s">
        <v>339</v>
      </c>
      <c r="F113" s="163" t="s">
        <v>375</v>
      </c>
      <c r="G113" s="27" t="s">
        <v>342</v>
      </c>
    </row>
    <row r="114" spans="2:7" x14ac:dyDescent="0.3">
      <c r="B114" s="27">
        <v>101</v>
      </c>
      <c r="C114" s="148" t="s">
        <v>489</v>
      </c>
      <c r="D114" s="151" t="s">
        <v>485</v>
      </c>
      <c r="E114" s="290" t="s">
        <v>339</v>
      </c>
      <c r="F114" s="163" t="s">
        <v>378</v>
      </c>
      <c r="G114" s="27" t="s">
        <v>342</v>
      </c>
    </row>
    <row r="115" spans="2:7" x14ac:dyDescent="0.3">
      <c r="B115" s="27">
        <v>102</v>
      </c>
      <c r="C115" s="148" t="s">
        <v>490</v>
      </c>
      <c r="D115" s="151" t="s">
        <v>485</v>
      </c>
      <c r="E115" s="290" t="s">
        <v>339</v>
      </c>
      <c r="F115" s="163" t="s">
        <v>382</v>
      </c>
      <c r="G115" s="27" t="s">
        <v>342</v>
      </c>
    </row>
    <row r="116" spans="2:7" x14ac:dyDescent="0.3">
      <c r="B116" s="27">
        <v>103</v>
      </c>
      <c r="C116" s="148" t="s">
        <v>491</v>
      </c>
      <c r="D116" s="151" t="s">
        <v>485</v>
      </c>
      <c r="E116" s="290" t="s">
        <v>339</v>
      </c>
      <c r="F116" s="163" t="s">
        <v>385</v>
      </c>
      <c r="G116" s="27" t="s">
        <v>342</v>
      </c>
    </row>
    <row r="117" spans="2:7" x14ac:dyDescent="0.3">
      <c r="B117" s="27">
        <v>104</v>
      </c>
      <c r="C117" s="148" t="s">
        <v>492</v>
      </c>
      <c r="D117" s="151" t="s">
        <v>485</v>
      </c>
      <c r="E117" s="290" t="s">
        <v>339</v>
      </c>
      <c r="F117" s="163" t="s">
        <v>388</v>
      </c>
      <c r="G117" s="27" t="s">
        <v>342</v>
      </c>
    </row>
    <row r="118" spans="2:7" x14ac:dyDescent="0.3">
      <c r="B118" s="27">
        <v>105</v>
      </c>
      <c r="C118" s="148" t="s">
        <v>493</v>
      </c>
      <c r="D118" s="151" t="s">
        <v>485</v>
      </c>
      <c r="E118" s="290" t="s">
        <v>339</v>
      </c>
      <c r="F118" s="163" t="s">
        <v>494</v>
      </c>
      <c r="G118" s="27" t="s">
        <v>345</v>
      </c>
    </row>
    <row r="119" spans="2:7" x14ac:dyDescent="0.3">
      <c r="B119" s="27">
        <v>106</v>
      </c>
      <c r="C119" s="148" t="s">
        <v>495</v>
      </c>
      <c r="D119" s="151" t="s">
        <v>485</v>
      </c>
      <c r="E119" s="290" t="s">
        <v>339</v>
      </c>
      <c r="F119" s="163" t="s">
        <v>496</v>
      </c>
      <c r="G119" s="27" t="s">
        <v>438</v>
      </c>
    </row>
    <row r="120" spans="2:7" x14ac:dyDescent="0.3">
      <c r="B120" s="27">
        <v>107</v>
      </c>
      <c r="C120" s="148" t="s">
        <v>497</v>
      </c>
      <c r="D120" s="151" t="s">
        <v>485</v>
      </c>
      <c r="E120" s="290" t="s">
        <v>339</v>
      </c>
      <c r="F120" s="163" t="s">
        <v>498</v>
      </c>
      <c r="G120" s="27" t="s">
        <v>438</v>
      </c>
    </row>
    <row r="121" spans="2:7" x14ac:dyDescent="0.3">
      <c r="B121" s="27">
        <v>108</v>
      </c>
      <c r="C121" s="148" t="s">
        <v>499</v>
      </c>
      <c r="D121" s="151" t="s">
        <v>485</v>
      </c>
      <c r="E121" s="290" t="s">
        <v>339</v>
      </c>
      <c r="F121" s="163" t="s">
        <v>500</v>
      </c>
      <c r="G121" s="27" t="s">
        <v>349</v>
      </c>
    </row>
    <row r="122" spans="2:7" x14ac:dyDescent="0.3">
      <c r="B122" s="27">
        <v>109</v>
      </c>
      <c r="C122" s="152" t="s">
        <v>501</v>
      </c>
      <c r="D122" s="154" t="s">
        <v>502</v>
      </c>
      <c r="E122" s="289" t="s">
        <v>339</v>
      </c>
      <c r="F122" s="163" t="s">
        <v>503</v>
      </c>
      <c r="G122" s="27" t="s">
        <v>337</v>
      </c>
    </row>
    <row r="123" spans="2:7" x14ac:dyDescent="0.3">
      <c r="B123" s="27">
        <v>110</v>
      </c>
      <c r="C123" s="148" t="s">
        <v>504</v>
      </c>
      <c r="D123" s="151" t="s">
        <v>502</v>
      </c>
      <c r="E123" s="290" t="s">
        <v>339</v>
      </c>
      <c r="F123" s="163" t="s">
        <v>503</v>
      </c>
      <c r="G123" s="27" t="s">
        <v>337</v>
      </c>
    </row>
    <row r="124" spans="2:7" x14ac:dyDescent="0.3">
      <c r="B124" s="27">
        <v>111</v>
      </c>
      <c r="C124" s="148" t="s">
        <v>505</v>
      </c>
      <c r="D124" s="151" t="s">
        <v>506</v>
      </c>
      <c r="E124" s="290" t="s">
        <v>339</v>
      </c>
      <c r="F124" s="163" t="s">
        <v>507</v>
      </c>
      <c r="G124" s="27" t="s">
        <v>357</v>
      </c>
    </row>
    <row r="125" spans="2:7" x14ac:dyDescent="0.3">
      <c r="B125" s="27">
        <v>112</v>
      </c>
      <c r="C125" s="148" t="s">
        <v>508</v>
      </c>
      <c r="D125" s="151" t="s">
        <v>506</v>
      </c>
      <c r="E125" s="290" t="s">
        <v>339</v>
      </c>
      <c r="F125" s="163" t="s">
        <v>507</v>
      </c>
      <c r="G125" s="27" t="s">
        <v>357</v>
      </c>
    </row>
    <row r="126" spans="2:7" x14ac:dyDescent="0.3">
      <c r="B126" s="27">
        <v>113</v>
      </c>
      <c r="C126" s="148" t="s">
        <v>509</v>
      </c>
      <c r="D126" s="151" t="s">
        <v>506</v>
      </c>
      <c r="E126" s="290" t="s">
        <v>339</v>
      </c>
      <c r="F126" s="163" t="s">
        <v>507</v>
      </c>
      <c r="G126" s="27" t="s">
        <v>357</v>
      </c>
    </row>
    <row r="127" spans="2:7" x14ac:dyDescent="0.3">
      <c r="B127" s="27">
        <v>114</v>
      </c>
      <c r="C127" s="148" t="s">
        <v>510</v>
      </c>
      <c r="D127" s="151" t="s">
        <v>506</v>
      </c>
      <c r="E127" s="290" t="s">
        <v>339</v>
      </c>
      <c r="F127" s="163" t="s">
        <v>507</v>
      </c>
      <c r="G127" s="27" t="s">
        <v>357</v>
      </c>
    </row>
    <row r="128" spans="2:7" x14ac:dyDescent="0.3">
      <c r="B128" s="27">
        <v>115</v>
      </c>
      <c r="C128" s="148" t="s">
        <v>511</v>
      </c>
      <c r="D128" s="151" t="s">
        <v>506</v>
      </c>
      <c r="E128" s="290" t="s">
        <v>339</v>
      </c>
      <c r="F128" s="163" t="s">
        <v>512</v>
      </c>
      <c r="G128" s="27" t="s">
        <v>357</v>
      </c>
    </row>
    <row r="129" spans="2:7" x14ac:dyDescent="0.3">
      <c r="B129" s="27">
        <v>116</v>
      </c>
      <c r="C129" s="148" t="s">
        <v>513</v>
      </c>
      <c r="D129" s="151" t="s">
        <v>506</v>
      </c>
      <c r="E129" s="290" t="s">
        <v>339</v>
      </c>
      <c r="F129" s="163" t="s">
        <v>512</v>
      </c>
      <c r="G129" s="27" t="s">
        <v>357</v>
      </c>
    </row>
    <row r="130" spans="2:7" x14ac:dyDescent="0.3">
      <c r="B130" s="27">
        <v>117</v>
      </c>
      <c r="C130" s="152" t="s">
        <v>514</v>
      </c>
      <c r="D130" s="154" t="s">
        <v>506</v>
      </c>
      <c r="E130" s="289" t="s">
        <v>339</v>
      </c>
      <c r="F130" s="163" t="s">
        <v>512</v>
      </c>
      <c r="G130" s="27" t="s">
        <v>357</v>
      </c>
    </row>
    <row r="131" spans="2:7" x14ac:dyDescent="0.3">
      <c r="B131" s="27">
        <v>118</v>
      </c>
      <c r="C131" s="151" t="s">
        <v>515</v>
      </c>
      <c r="D131" s="151" t="s">
        <v>506</v>
      </c>
      <c r="E131" s="291" t="s">
        <v>339</v>
      </c>
      <c r="F131" s="164" t="s">
        <v>512</v>
      </c>
      <c r="G131" s="53" t="s">
        <v>357</v>
      </c>
    </row>
    <row r="132" spans="2:7" x14ac:dyDescent="0.3">
      <c r="B132" s="27">
        <v>119</v>
      </c>
      <c r="C132" s="151" t="s">
        <v>516</v>
      </c>
      <c r="D132" s="151" t="s">
        <v>517</v>
      </c>
      <c r="E132" s="291" t="s">
        <v>339</v>
      </c>
      <c r="F132" s="164" t="s">
        <v>518</v>
      </c>
      <c r="G132" s="53" t="s">
        <v>519</v>
      </c>
    </row>
    <row r="133" spans="2:7" x14ac:dyDescent="0.3">
      <c r="B133" s="27">
        <v>120</v>
      </c>
      <c r="C133" s="151" t="s">
        <v>520</v>
      </c>
      <c r="D133" s="151" t="s">
        <v>517</v>
      </c>
      <c r="E133" s="291" t="s">
        <v>339</v>
      </c>
      <c r="F133" s="164" t="s">
        <v>518</v>
      </c>
      <c r="G133" s="53" t="s">
        <v>519</v>
      </c>
    </row>
    <row r="134" spans="2:7" x14ac:dyDescent="0.3">
      <c r="B134" s="27">
        <v>121</v>
      </c>
      <c r="C134" s="151" t="s">
        <v>521</v>
      </c>
      <c r="D134" s="151" t="s">
        <v>517</v>
      </c>
      <c r="E134" s="291" t="s">
        <v>339</v>
      </c>
      <c r="F134" s="164" t="s">
        <v>518</v>
      </c>
      <c r="G134" s="53" t="s">
        <v>519</v>
      </c>
    </row>
    <row r="135" spans="2:7" x14ac:dyDescent="0.3">
      <c r="B135" s="27">
        <v>122</v>
      </c>
      <c r="C135" s="151" t="s">
        <v>522</v>
      </c>
      <c r="D135" s="151" t="s">
        <v>517</v>
      </c>
      <c r="E135" s="291" t="s">
        <v>339</v>
      </c>
      <c r="F135" s="164" t="s">
        <v>518</v>
      </c>
      <c r="G135" s="53" t="s">
        <v>519</v>
      </c>
    </row>
    <row r="136" spans="2:7" x14ac:dyDescent="0.3">
      <c r="B136" s="27">
        <v>123</v>
      </c>
      <c r="C136" s="151" t="s">
        <v>523</v>
      </c>
      <c r="D136" s="151" t="s">
        <v>517</v>
      </c>
      <c r="E136" s="291" t="s">
        <v>339</v>
      </c>
      <c r="F136" s="164" t="s">
        <v>518</v>
      </c>
      <c r="G136" s="53" t="s">
        <v>519</v>
      </c>
    </row>
    <row r="137" spans="2:7" x14ac:dyDescent="0.3">
      <c r="B137" s="27">
        <v>124</v>
      </c>
      <c r="C137" s="151" t="s">
        <v>524</v>
      </c>
      <c r="D137" s="151" t="s">
        <v>517</v>
      </c>
      <c r="E137" s="291" t="s">
        <v>339</v>
      </c>
      <c r="F137" s="164" t="s">
        <v>518</v>
      </c>
      <c r="G137" s="53" t="s">
        <v>519</v>
      </c>
    </row>
    <row r="138" spans="2:7" x14ac:dyDescent="0.3">
      <c r="B138" s="27">
        <v>125</v>
      </c>
      <c r="C138" s="151" t="s">
        <v>525</v>
      </c>
      <c r="D138" s="151" t="s">
        <v>517</v>
      </c>
      <c r="E138" s="291" t="s">
        <v>339</v>
      </c>
      <c r="F138" s="164" t="s">
        <v>518</v>
      </c>
      <c r="G138" s="53" t="s">
        <v>519</v>
      </c>
    </row>
    <row r="139" spans="2:7" x14ac:dyDescent="0.3">
      <c r="B139" s="27">
        <v>126</v>
      </c>
      <c r="C139" s="151" t="s">
        <v>526</v>
      </c>
      <c r="D139" s="151" t="s">
        <v>527</v>
      </c>
      <c r="E139" s="291" t="s">
        <v>339</v>
      </c>
      <c r="F139" s="164" t="s">
        <v>518</v>
      </c>
      <c r="G139" s="53" t="s">
        <v>351</v>
      </c>
    </row>
    <row r="140" spans="2:7" x14ac:dyDescent="0.3">
      <c r="B140" s="27">
        <v>127</v>
      </c>
      <c r="C140" s="151" t="s">
        <v>528</v>
      </c>
      <c r="D140" s="151" t="s">
        <v>527</v>
      </c>
      <c r="E140" s="291" t="s">
        <v>339</v>
      </c>
      <c r="F140" s="164" t="s">
        <v>518</v>
      </c>
      <c r="G140" s="53" t="s">
        <v>351</v>
      </c>
    </row>
    <row r="141" spans="2:7" ht="28.8" x14ac:dyDescent="0.3">
      <c r="B141" s="27">
        <v>128</v>
      </c>
      <c r="C141" s="151" t="s">
        <v>529</v>
      </c>
      <c r="D141" s="151" t="s">
        <v>530</v>
      </c>
      <c r="E141" s="291" t="s">
        <v>339</v>
      </c>
      <c r="F141" s="164" t="s">
        <v>518</v>
      </c>
      <c r="G141" s="53" t="s">
        <v>519</v>
      </c>
    </row>
    <row r="142" spans="2:7" ht="28.8" x14ac:dyDescent="0.3">
      <c r="B142" s="27">
        <v>129</v>
      </c>
      <c r="C142" s="151" t="s">
        <v>531</v>
      </c>
      <c r="D142" s="151" t="s">
        <v>530</v>
      </c>
      <c r="E142" s="291" t="s">
        <v>339</v>
      </c>
      <c r="F142" s="164" t="s">
        <v>518</v>
      </c>
      <c r="G142" s="53" t="s">
        <v>519</v>
      </c>
    </row>
    <row r="143" spans="2:7" x14ac:dyDescent="0.3">
      <c r="B143" s="27">
        <v>130</v>
      </c>
      <c r="C143" s="151" t="s">
        <v>532</v>
      </c>
      <c r="D143" s="151" t="s">
        <v>533</v>
      </c>
      <c r="E143" s="291" t="s">
        <v>339</v>
      </c>
      <c r="F143" s="164" t="s">
        <v>518</v>
      </c>
      <c r="G143" s="53" t="s">
        <v>519</v>
      </c>
    </row>
    <row r="144" spans="2:7" x14ac:dyDescent="0.3">
      <c r="B144" s="27">
        <v>131</v>
      </c>
      <c r="C144" s="151" t="s">
        <v>534</v>
      </c>
      <c r="D144" s="151" t="s">
        <v>533</v>
      </c>
      <c r="E144" s="291" t="s">
        <v>339</v>
      </c>
      <c r="F144" s="164" t="s">
        <v>518</v>
      </c>
      <c r="G144" s="53" t="s">
        <v>519</v>
      </c>
    </row>
    <row r="145" spans="2:7" ht="28.8" x14ac:dyDescent="0.3">
      <c r="B145" s="27">
        <v>132</v>
      </c>
      <c r="C145" s="151" t="s">
        <v>535</v>
      </c>
      <c r="D145" s="151" t="s">
        <v>536</v>
      </c>
      <c r="E145" s="291" t="s">
        <v>339</v>
      </c>
      <c r="F145" s="164" t="s">
        <v>518</v>
      </c>
      <c r="G145" s="53" t="s">
        <v>351</v>
      </c>
    </row>
    <row r="146" spans="2:7" ht="28.8" x14ac:dyDescent="0.3">
      <c r="B146" s="27">
        <v>133</v>
      </c>
      <c r="C146" s="151" t="s">
        <v>537</v>
      </c>
      <c r="D146" s="151" t="s">
        <v>536</v>
      </c>
      <c r="E146" s="291" t="s">
        <v>339</v>
      </c>
      <c r="F146" s="164" t="s">
        <v>518</v>
      </c>
      <c r="G146" s="53" t="s">
        <v>351</v>
      </c>
    </row>
    <row r="147" spans="2:7" x14ac:dyDescent="0.3">
      <c r="B147" s="27">
        <v>134</v>
      </c>
      <c r="C147" s="151" t="s">
        <v>538</v>
      </c>
      <c r="D147" s="151" t="s">
        <v>539</v>
      </c>
      <c r="E147" s="291" t="s">
        <v>339</v>
      </c>
      <c r="F147" s="164" t="s">
        <v>518</v>
      </c>
      <c r="G147" s="53" t="s">
        <v>519</v>
      </c>
    </row>
    <row r="148" spans="2:7" ht="28.8" x14ac:dyDescent="0.3">
      <c r="B148" s="27">
        <v>135</v>
      </c>
      <c r="C148" s="151" t="s">
        <v>540</v>
      </c>
      <c r="D148" s="151" t="s">
        <v>541</v>
      </c>
      <c r="E148" s="291" t="s">
        <v>339</v>
      </c>
      <c r="F148" s="164" t="s">
        <v>518</v>
      </c>
      <c r="G148" s="53" t="s">
        <v>542</v>
      </c>
    </row>
    <row r="149" spans="2:7" ht="28.8" x14ac:dyDescent="0.3">
      <c r="B149" s="27">
        <v>136</v>
      </c>
      <c r="C149" s="151" t="s">
        <v>543</v>
      </c>
      <c r="D149" s="151" t="s">
        <v>541</v>
      </c>
      <c r="E149" s="291" t="s">
        <v>339</v>
      </c>
      <c r="F149" s="164" t="s">
        <v>518</v>
      </c>
      <c r="G149" s="53" t="s">
        <v>542</v>
      </c>
    </row>
    <row r="150" spans="2:7" ht="28.8" x14ac:dyDescent="0.3">
      <c r="B150" s="27">
        <v>137</v>
      </c>
      <c r="C150" s="151" t="s">
        <v>544</v>
      </c>
      <c r="D150" s="151" t="s">
        <v>541</v>
      </c>
      <c r="E150" s="291" t="s">
        <v>339</v>
      </c>
      <c r="F150" s="164" t="s">
        <v>518</v>
      </c>
      <c r="G150" s="53" t="s">
        <v>542</v>
      </c>
    </row>
    <row r="151" spans="2:7" ht="28.8" x14ac:dyDescent="0.3">
      <c r="B151" s="27">
        <v>138</v>
      </c>
      <c r="C151" s="151" t="s">
        <v>545</v>
      </c>
      <c r="D151" s="151" t="s">
        <v>541</v>
      </c>
      <c r="E151" s="291" t="s">
        <v>339</v>
      </c>
      <c r="F151" s="164" t="s">
        <v>518</v>
      </c>
      <c r="G151" s="53" t="s">
        <v>542</v>
      </c>
    </row>
    <row r="152" spans="2:7" ht="28.8" x14ac:dyDescent="0.3">
      <c r="B152" s="27">
        <v>139</v>
      </c>
      <c r="C152" s="151" t="s">
        <v>546</v>
      </c>
      <c r="D152" s="151" t="s">
        <v>547</v>
      </c>
      <c r="E152" s="291" t="s">
        <v>339</v>
      </c>
      <c r="F152" s="164" t="s">
        <v>518</v>
      </c>
      <c r="G152" s="53" t="s">
        <v>542</v>
      </c>
    </row>
    <row r="153" spans="2:7" ht="28.8" x14ac:dyDescent="0.3">
      <c r="B153" s="27">
        <v>140</v>
      </c>
      <c r="C153" s="151" t="s">
        <v>548</v>
      </c>
      <c r="D153" s="151" t="s">
        <v>547</v>
      </c>
      <c r="E153" s="291" t="s">
        <v>339</v>
      </c>
      <c r="F153" s="164" t="s">
        <v>518</v>
      </c>
      <c r="G153" s="53" t="s">
        <v>542</v>
      </c>
    </row>
    <row r="154" spans="2:7" ht="28.8" x14ac:dyDescent="0.3">
      <c r="B154" s="27">
        <v>141</v>
      </c>
      <c r="C154" s="151" t="s">
        <v>549</v>
      </c>
      <c r="D154" s="151" t="s">
        <v>547</v>
      </c>
      <c r="E154" s="291" t="s">
        <v>339</v>
      </c>
      <c r="F154" s="164" t="s">
        <v>518</v>
      </c>
      <c r="G154" s="53" t="s">
        <v>542</v>
      </c>
    </row>
    <row r="155" spans="2:7" ht="28.8" x14ac:dyDescent="0.3">
      <c r="B155" s="27">
        <v>142</v>
      </c>
      <c r="C155" s="151" t="s">
        <v>550</v>
      </c>
      <c r="D155" s="151" t="s">
        <v>547</v>
      </c>
      <c r="E155" s="291" t="s">
        <v>339</v>
      </c>
      <c r="F155" s="164" t="s">
        <v>518</v>
      </c>
      <c r="G155" s="53" t="s">
        <v>542</v>
      </c>
    </row>
    <row r="156" spans="2:7" x14ac:dyDescent="0.3">
      <c r="B156" s="27">
        <v>143</v>
      </c>
      <c r="C156" s="151" t="s">
        <v>551</v>
      </c>
      <c r="D156" s="151" t="s">
        <v>552</v>
      </c>
      <c r="E156" s="291" t="s">
        <v>339</v>
      </c>
      <c r="F156" s="164" t="s">
        <v>552</v>
      </c>
      <c r="G156" s="53" t="s">
        <v>519</v>
      </c>
    </row>
    <row r="157" spans="2:7" x14ac:dyDescent="0.3">
      <c r="B157" s="27">
        <v>144</v>
      </c>
      <c r="C157" s="151" t="s">
        <v>553</v>
      </c>
      <c r="D157" s="151" t="s">
        <v>552</v>
      </c>
      <c r="E157" s="291" t="s">
        <v>339</v>
      </c>
      <c r="F157" s="164" t="s">
        <v>552</v>
      </c>
      <c r="G157" s="53" t="s">
        <v>519</v>
      </c>
    </row>
    <row r="158" spans="2:7" x14ac:dyDescent="0.3">
      <c r="B158" s="27">
        <v>145</v>
      </c>
      <c r="C158" s="151" t="s">
        <v>554</v>
      </c>
      <c r="D158" s="151" t="s">
        <v>552</v>
      </c>
      <c r="E158" s="291" t="s">
        <v>339</v>
      </c>
      <c r="F158" s="164" t="s">
        <v>552</v>
      </c>
      <c r="G158" s="53" t="s">
        <v>519</v>
      </c>
    </row>
    <row r="159" spans="2:7" x14ac:dyDescent="0.3">
      <c r="B159" s="27">
        <v>146</v>
      </c>
      <c r="C159" s="151" t="s">
        <v>555</v>
      </c>
      <c r="D159" s="151" t="s">
        <v>556</v>
      </c>
      <c r="E159" s="291" t="s">
        <v>339</v>
      </c>
      <c r="F159" s="164" t="s">
        <v>556</v>
      </c>
      <c r="G159" s="53" t="s">
        <v>519</v>
      </c>
    </row>
    <row r="160" spans="2:7" x14ac:dyDescent="0.3">
      <c r="B160" s="27">
        <v>147</v>
      </c>
      <c r="C160" s="154" t="s">
        <v>557</v>
      </c>
      <c r="D160" s="154" t="s">
        <v>556</v>
      </c>
      <c r="E160" s="292" t="s">
        <v>339</v>
      </c>
      <c r="F160" s="164" t="s">
        <v>556</v>
      </c>
      <c r="G160" s="53" t="s">
        <v>519</v>
      </c>
    </row>
    <row r="161" spans="2:7" x14ac:dyDescent="0.3">
      <c r="B161" s="27">
        <v>148</v>
      </c>
      <c r="C161" s="151" t="s">
        <v>558</v>
      </c>
      <c r="D161" s="151" t="s">
        <v>556</v>
      </c>
      <c r="E161" s="291" t="s">
        <v>339</v>
      </c>
      <c r="F161" s="164" t="s">
        <v>556</v>
      </c>
      <c r="G161" s="53" t="s">
        <v>519</v>
      </c>
    </row>
    <row r="162" spans="2:7" x14ac:dyDescent="0.3">
      <c r="B162" s="27">
        <v>149</v>
      </c>
      <c r="C162" s="151" t="s">
        <v>559</v>
      </c>
      <c r="D162" s="151" t="s">
        <v>556</v>
      </c>
      <c r="E162" s="291" t="s">
        <v>339</v>
      </c>
      <c r="F162" s="164" t="s">
        <v>556</v>
      </c>
      <c r="G162" s="53" t="s">
        <v>519</v>
      </c>
    </row>
    <row r="163" spans="2:7" x14ac:dyDescent="0.3">
      <c r="B163" s="27">
        <v>150</v>
      </c>
      <c r="C163" s="151" t="s">
        <v>560</v>
      </c>
      <c r="D163" s="151" t="s">
        <v>556</v>
      </c>
      <c r="E163" s="291" t="s">
        <v>339</v>
      </c>
      <c r="F163" s="164" t="s">
        <v>556</v>
      </c>
      <c r="G163" s="53" t="s">
        <v>519</v>
      </c>
    </row>
    <row r="164" spans="2:7" x14ac:dyDescent="0.3">
      <c r="B164" s="27">
        <v>151</v>
      </c>
      <c r="C164" s="148" t="s">
        <v>561</v>
      </c>
      <c r="D164" s="151" t="s">
        <v>326</v>
      </c>
      <c r="E164" s="290" t="s">
        <v>339</v>
      </c>
      <c r="F164" s="163" t="s">
        <v>518</v>
      </c>
      <c r="G164" s="27" t="s">
        <v>519</v>
      </c>
    </row>
    <row r="165" spans="2:7" x14ac:dyDescent="0.3">
      <c r="B165" s="27">
        <v>152</v>
      </c>
      <c r="C165" s="148" t="s">
        <v>562</v>
      </c>
      <c r="D165" s="151" t="s">
        <v>326</v>
      </c>
      <c r="E165" s="290" t="s">
        <v>339</v>
      </c>
      <c r="F165" s="163" t="s">
        <v>518</v>
      </c>
      <c r="G165" s="27" t="s">
        <v>519</v>
      </c>
    </row>
    <row r="166" spans="2:7" x14ac:dyDescent="0.3">
      <c r="B166" s="27">
        <v>153</v>
      </c>
      <c r="C166" s="148" t="s">
        <v>563</v>
      </c>
      <c r="D166" s="151" t="s">
        <v>326</v>
      </c>
      <c r="E166" s="290" t="s">
        <v>339</v>
      </c>
      <c r="F166" s="163" t="s">
        <v>518</v>
      </c>
      <c r="G166" s="27" t="s">
        <v>519</v>
      </c>
    </row>
    <row r="167" spans="2:7" x14ac:dyDescent="0.3">
      <c r="B167" s="27">
        <v>154</v>
      </c>
      <c r="C167" s="148" t="s">
        <v>564</v>
      </c>
      <c r="D167" s="151" t="s">
        <v>326</v>
      </c>
      <c r="E167" s="290" t="s">
        <v>339</v>
      </c>
      <c r="F167" s="163" t="s">
        <v>518</v>
      </c>
      <c r="G167" s="27" t="s">
        <v>519</v>
      </c>
    </row>
  </sheetData>
  <mergeCells count="3">
    <mergeCell ref="B9:G9"/>
    <mergeCell ref="E10:G10"/>
    <mergeCell ref="E11:G11"/>
  </mergeCells>
  <pageMargins left="0.70866141732283472" right="0.70866141732283472" top="0.74803149606299213" bottom="0.74803149606299213" header="0.31496062992125984" footer="0.31496062992125984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56029D413344E965C7CF352513E05" ma:contentTypeVersion="10" ma:contentTypeDescription="Create a new document." ma:contentTypeScope="" ma:versionID="dd46991c9bf616eac0a9a5ad6ec7828c">
  <xsd:schema xmlns:xsd="http://www.w3.org/2001/XMLSchema" xmlns:xs="http://www.w3.org/2001/XMLSchema" xmlns:p="http://schemas.microsoft.com/office/2006/metadata/properties" xmlns:ns3="1ff28d58-7a96-4780-9115-090fbc128421" targetNamespace="http://schemas.microsoft.com/office/2006/metadata/properties" ma:root="true" ma:fieldsID="97990c7cca87df40a76b8290e556602e" ns3:_="">
    <xsd:import namespace="1ff28d58-7a96-4780-9115-090fbc1284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28d58-7a96-4780-9115-090fbc12842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f28d58-7a96-4780-9115-090fbc128421" xsi:nil="true"/>
  </documentManagement>
</p:properties>
</file>

<file path=customXml/itemProps1.xml><?xml version="1.0" encoding="utf-8"?>
<ds:datastoreItem xmlns:ds="http://schemas.openxmlformats.org/officeDocument/2006/customXml" ds:itemID="{F165D430-200A-440D-B1B7-14519CAACE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AA73A3-7B81-4C41-84F0-351256663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28d58-7a96-4780-9115-090fbc1284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289769-6943-414A-ABAA-327254EDA6C6}">
  <ds:schemaRefs>
    <ds:schemaRef ds:uri="1ff28d58-7a96-4780-9115-090fbc128421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7</vt:i4>
      </vt:variant>
      <vt:variant>
        <vt:lpstr>Rentang Bernama</vt:lpstr>
      </vt:variant>
      <vt:variant>
        <vt:i4>6</vt:i4>
      </vt:variant>
    </vt:vector>
  </HeadingPairs>
  <TitlesOfParts>
    <vt:vector size="13" baseType="lpstr">
      <vt:lpstr>Covering Letter </vt:lpstr>
      <vt:lpstr>RECAP</vt:lpstr>
      <vt:lpstr>SC HO</vt:lpstr>
      <vt:lpstr>TOOLS RECAP</vt:lpstr>
      <vt:lpstr>TOOLS RECAP (2)</vt:lpstr>
      <vt:lpstr>SERTIFIKASI</vt:lpstr>
      <vt:lpstr>LIST MP</vt:lpstr>
      <vt:lpstr>RECAP!Print_Area</vt:lpstr>
      <vt:lpstr>'SC HO'!Print_Area</vt:lpstr>
      <vt:lpstr>'TOOLS RECAP'!Print_Area</vt:lpstr>
      <vt:lpstr>'TOOLS RECAP (2)'!Print_Area</vt:lpstr>
      <vt:lpstr>'LIST MP'!Print_Titles</vt:lpstr>
      <vt:lpstr>'TOOLS RECAP'!Print_Titles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Friska Alfrida AT - CGS Partner</dc:creator>
  <cp:keywords/>
  <dc:description/>
  <cp:lastModifiedBy>Muhandis Lawdza'i Putra Sanjaya</cp:lastModifiedBy>
  <cp:revision/>
  <cp:lastPrinted>2025-04-11T07:31:47Z</cp:lastPrinted>
  <dcterms:created xsi:type="dcterms:W3CDTF">2024-12-05T11:18:46Z</dcterms:created>
  <dcterms:modified xsi:type="dcterms:W3CDTF">2025-11-05T13:42:40Z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0x010100E5456029D413344E965C7CF352513E05</vt:lpwstr>
  </property>
</Properties>
</file>