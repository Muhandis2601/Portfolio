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D:\FILE KULIAH\PRAKTIK INDUSTRI &amp; MAGANG\MAGANG MANDIRI\PT Mitra Bakti United Tractor\BUSDEV\"/>
    </mc:Choice>
  </mc:AlternateContent>
  <xr:revisionPtr revIDLastSave="0" documentId="13_ncr:1_{CB3A4311-624B-4AFD-8619-6BD7FA09E91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ools Kit" sheetId="1" r:id="rId1"/>
    <sheet name="TOOLS AC Split" sheetId="2" r:id="rId2"/>
    <sheet name="Pricelist Split" sheetId="3" r:id="rId3"/>
    <sheet name="TOOLS AC Kaset" sheetId="4" r:id="rId4"/>
    <sheet name="Pricelist Kase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" i="5" l="1"/>
  <c r="G15" i="5" s="1"/>
  <c r="I66" i="4"/>
  <c r="I65" i="4"/>
  <c r="I64" i="4"/>
  <c r="I67" i="4" s="1"/>
  <c r="C11" i="4" s="1"/>
  <c r="G8" i="5" s="1"/>
  <c r="I57" i="4"/>
  <c r="I56" i="4"/>
  <c r="I55" i="4"/>
  <c r="I54" i="4"/>
  <c r="I53" i="4"/>
  <c r="I52" i="4"/>
  <c r="I51" i="4"/>
  <c r="I50" i="4"/>
  <c r="I58" i="4" s="1"/>
  <c r="C10" i="4" s="1"/>
  <c r="J7" i="5" s="1"/>
  <c r="J8" i="5" s="1"/>
  <c r="G14" i="5" s="1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45" i="4" s="1"/>
  <c r="C9" i="4" s="1"/>
  <c r="G15" i="3"/>
  <c r="M9" i="3"/>
  <c r="I65" i="2"/>
  <c r="I64" i="2"/>
  <c r="I63" i="2"/>
  <c r="I66" i="2" s="1"/>
  <c r="C11" i="2" s="1"/>
  <c r="G8" i="3" s="1"/>
  <c r="I56" i="2"/>
  <c r="I55" i="2"/>
  <c r="I54" i="2"/>
  <c r="I53" i="2"/>
  <c r="I52" i="2"/>
  <c r="I51" i="2"/>
  <c r="I50" i="2"/>
  <c r="I49" i="2"/>
  <c r="I57" i="2" s="1"/>
  <c r="C10" i="2" s="1"/>
  <c r="J7" i="3" s="1"/>
  <c r="J8" i="3" s="1"/>
  <c r="G14" i="3" s="1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43" i="2" s="1"/>
  <c r="C9" i="2" s="1"/>
  <c r="C12" i="2" l="1"/>
  <c r="G7" i="3"/>
  <c r="G9" i="3" s="1"/>
  <c r="G13" i="3" s="1"/>
  <c r="G16" i="3" s="1"/>
  <c r="C12" i="4"/>
  <c r="G7" i="5"/>
  <c r="G9" i="5" s="1"/>
  <c r="G13" i="5" s="1"/>
  <c r="G16" i="5" s="1"/>
  <c r="G25" i="5" l="1"/>
  <c r="G27" i="5" s="1"/>
  <c r="C16" i="5"/>
  <c r="H21" i="5"/>
  <c r="K21" i="5" s="1"/>
  <c r="H20" i="5"/>
  <c r="K20" i="5" s="1"/>
  <c r="H19" i="5"/>
  <c r="K19" i="5" s="1"/>
  <c r="C17" i="5" s="1"/>
  <c r="H20" i="3"/>
  <c r="K20" i="3" s="1"/>
  <c r="H19" i="3"/>
  <c r="K19" i="3" s="1"/>
  <c r="C17" i="3" s="1"/>
  <c r="C16" i="3"/>
  <c r="G25" i="3"/>
  <c r="G27" i="3" s="1"/>
  <c r="H21" i="3"/>
  <c r="K21" i="3" s="1"/>
</calcChain>
</file>

<file path=xl/sharedStrings.xml><?xml version="1.0" encoding="utf-8"?>
<sst xmlns="http://schemas.openxmlformats.org/spreadsheetml/2006/main" count="626" uniqueCount="203">
  <si>
    <t>Tools &amp; Consumable AC Split</t>
  </si>
  <si>
    <t>Tools &amp; Consumable AC Kaset</t>
  </si>
  <si>
    <t>Kategori</t>
  </si>
  <si>
    <t>No</t>
  </si>
  <si>
    <t>Nama Item</t>
  </si>
  <si>
    <t>Jumlah Ideal</t>
  </si>
  <si>
    <t>Keterangan</t>
  </si>
  <si>
    <t>Tools (Peralatan)</t>
  </si>
  <si>
    <t>Pompa Steam Portable</t>
  </si>
  <si>
    <t>1 unit</t>
  </si>
  <si>
    <t>Untuk mencuci evaporator &amp; outdoor</t>
  </si>
  <si>
    <t>Pompa Steam Tekanan Tinggi</t>
  </si>
  <si>
    <t>Membersihkan coil besar</t>
  </si>
  <si>
    <t>Selang Pompa Steam (5–10 m)</t>
  </si>
  <si>
    <t>1 pcs</t>
  </si>
  <si>
    <t>Terhubung ke pompa steam</t>
  </si>
  <si>
    <t>Selang Pompa Steam (10–15 m)</t>
  </si>
  <si>
    <t>Jangkauan plafon tinggi</t>
  </si>
  <si>
    <t>Plastik Service AC</t>
  </si>
  <si>
    <t>Penampung air cucian indoor</t>
  </si>
  <si>
    <t>Plastik / terpal Penutup Cassette</t>
  </si>
  <si>
    <t>Penampung air cucian</t>
  </si>
  <si>
    <t>Tangga Lipat (2 m)</t>
  </si>
  <si>
    <t>Akses ke unit indoor/outdoor</t>
  </si>
  <si>
    <t>Tangga Tinggi / Scaffolding</t>
  </si>
  <si>
    <t>Akses ke unit di plafon</t>
  </si>
  <si>
    <t>Mesin Vacuum AC Mini</t>
  </si>
  <si>
    <t>Menghisap udara &amp; kelembapan sistem</t>
  </si>
  <si>
    <t>Mesin Vacuum AC</t>
  </si>
  <si>
    <t>Menghisap udara/freon</t>
  </si>
  <si>
    <t>Manifold Gauge</t>
  </si>
  <si>
    <t>Pengukur tekanan freon</t>
  </si>
  <si>
    <t>Ukur tekanan freon</t>
  </si>
  <si>
    <t>Thermogun</t>
  </si>
  <si>
    <t>Pengukur suhu udara</t>
  </si>
  <si>
    <t>Ukur suhu udara keluaran</t>
  </si>
  <si>
    <t>Obeng Set (Min &amp; Plus)</t>
  </si>
  <si>
    <t>1 set</t>
  </si>
  <si>
    <t>Bongkar pasang casing</t>
  </si>
  <si>
    <t>Obeng Set Lengkap</t>
  </si>
  <si>
    <t>Bongkar panel indoor</t>
  </si>
  <si>
    <t>Kanebo / Lap Microfiber</t>
  </si>
  <si>
    <t>2 pcs</t>
  </si>
  <si>
    <t>Pengering akhir</t>
  </si>
  <si>
    <t>Bor Battery</t>
  </si>
  <si>
    <t>Buka baut plafon cepat</t>
  </si>
  <si>
    <t>tas / toolbox</t>
  </si>
  <si>
    <t>Membawa peralatan &amp; bahan</t>
  </si>
  <si>
    <t>Tang Kombinasi &amp; Kunci Inggris</t>
  </si>
  <si>
    <t>Kencangkan fitting pipa</t>
  </si>
  <si>
    <t>Senter Kepala</t>
  </si>
  <si>
    <t>Penerangan di area indoor</t>
  </si>
  <si>
    <t>Ember Besar (20 L)</t>
  </si>
  <si>
    <t>Tampung air cucian</t>
  </si>
  <si>
    <t>Meteran 5 m</t>
  </si>
  <si>
    <t>Pengukuran pipa &amp; jarak</t>
  </si>
  <si>
    <t>Cutter &amp; Tang Kombinasi</t>
  </si>
  <si>
    <t>Perbaikan dan pemotongan ringan</t>
  </si>
  <si>
    <t>Visibilitas di area plafon</t>
  </si>
  <si>
    <t>Clamp Meter</t>
  </si>
  <si>
    <t>Untuk cek arus dan tegangan, penting dalam diagnosis kerusakan.</t>
  </si>
  <si>
    <t>Ember (10–15 L)</t>
  </si>
  <si>
    <t>Penampung air bilasan</t>
  </si>
  <si>
    <t>Consumable (Bahan Habis Pakai)</t>
  </si>
  <si>
    <t>Chemical Coil Cleaner Heavy Duty</t>
  </si>
  <si>
    <t>±1–2 L/unit</t>
  </si>
  <si>
    <t>Pembersih coil besar</t>
  </si>
  <si>
    <t>Chemical Coil Cleaner</t>
  </si>
  <si>
    <t>±0.5–1 L/unit</t>
  </si>
  <si>
    <t>Pembersih sirip evaporator</t>
  </si>
  <si>
    <t>Air Bersih</t>
  </si>
  <si>
    <t>±10–20 L/unit</t>
  </si>
  <si>
    <t>Bilasan coil &amp; casing</t>
  </si>
  <si>
    <t>±5–10 L/unit</t>
  </si>
  <si>
    <t>Bilasan setelah chemical</t>
  </si>
  <si>
    <t xml:space="preserve">Plastik </t>
  </si>
  <si>
    <t>1 lembar besar</t>
  </si>
  <si>
    <t>Lindungi plafon &amp; lantai</t>
  </si>
  <si>
    <t>Plastik Pelindung Area</t>
  </si>
  <si>
    <t>1 lembar</t>
  </si>
  <si>
    <t>Melindungi dinding/lantai</t>
  </si>
  <si>
    <t>Freon (R410A / R32)</t>
  </si>
  <si>
    <t>secukupnya</t>
  </si>
  <si>
    <t>Tambah freon bila perlu</t>
  </si>
  <si>
    <t>Isolasi Pipa</t>
  </si>
  <si>
    <t>Penggantian bila bocor</t>
  </si>
  <si>
    <t>Lap &amp; Kanebo</t>
  </si>
  <si>
    <t>Grease / Oli Fan</t>
  </si>
  <si>
    <t>Perawatan ringan motor fan</t>
  </si>
  <si>
    <t>Freon (R22 / R32 / R410A)</t>
  </si>
  <si>
    <t>Refill jika tekanan kurang</t>
  </si>
  <si>
    <t>APD (Alat Pelindung Diri)</t>
  </si>
  <si>
    <t>Sarung Tangan Karet Tahan Panas</t>
  </si>
  <si>
    <t>1 pasang</t>
  </si>
  <si>
    <t>Lindungi tangan dari steam</t>
  </si>
  <si>
    <t>Sarung Tangan Karet</t>
  </si>
  <si>
    <t>Lindungi tangan dari chemical</t>
  </si>
  <si>
    <t>Sepatu Safety Non-slip</t>
  </si>
  <si>
    <t>Aman di area basah</t>
  </si>
  <si>
    <t>Helm Safety</t>
  </si>
  <si>
    <t>Wajib jika di plafon tinggi</t>
  </si>
  <si>
    <t>Sepatu Non-slip</t>
  </si>
  <si>
    <t>Cegah terpeleset</t>
  </si>
  <si>
    <t>Nama</t>
  </si>
  <si>
    <t>Peralatan Cleaning Service</t>
  </si>
  <si>
    <t>Area Layanan</t>
  </si>
  <si>
    <t>-</t>
  </si>
  <si>
    <t>Jenis Job Supply</t>
  </si>
  <si>
    <t>Maintenance AC Split</t>
  </si>
  <si>
    <t>Jenis Produk</t>
  </si>
  <si>
    <t>Total Price</t>
  </si>
  <si>
    <t>Tools</t>
  </si>
  <si>
    <t>Consumable</t>
  </si>
  <si>
    <t>Alat Pelindung Diri (APD)</t>
  </si>
  <si>
    <t>Asumsi Kerja</t>
  </si>
  <si>
    <t>Jumlah</t>
  </si>
  <si>
    <t>Jumlah Petugas</t>
  </si>
  <si>
    <t>Orang</t>
  </si>
  <si>
    <t>Jam Kerja</t>
  </si>
  <si>
    <t>Jam</t>
  </si>
  <si>
    <t>TOOLS MAINTENANCE AC SPLIT</t>
  </si>
  <si>
    <t>Spesifikasi</t>
  </si>
  <si>
    <t>Merk</t>
  </si>
  <si>
    <t>Kuantitas</t>
  </si>
  <si>
    <t>Unit Price</t>
  </si>
  <si>
    <t>Depresiasi</t>
  </si>
  <si>
    <t>Satuan</t>
  </si>
  <si>
    <t>Pompa Steam</t>
  </si>
  <si>
    <t>Pcs</t>
  </si>
  <si>
    <t>Selang Pompa Steam AC</t>
  </si>
  <si>
    <t>Tangga Lipat</t>
  </si>
  <si>
    <t>Manifold</t>
  </si>
  <si>
    <t>Obeng Min (-)</t>
  </si>
  <si>
    <t>Obeng Plus (+)</t>
  </si>
  <si>
    <t>Kanebo</t>
  </si>
  <si>
    <t>Senter Kepala/Headlamp</t>
  </si>
  <si>
    <t>Meteran 5 Mtr</t>
  </si>
  <si>
    <t>5 m</t>
  </si>
  <si>
    <t>Cutter</t>
  </si>
  <si>
    <t>Tang Kombinasi Uk 8 Inc</t>
  </si>
  <si>
    <t>8 Inch</t>
  </si>
  <si>
    <t>Ember Besar</t>
  </si>
  <si>
    <t>10-15 L</t>
  </si>
  <si>
    <t>Tas/Toolbox</t>
  </si>
  <si>
    <t>Total Harga</t>
  </si>
  <si>
    <t>CONSUMABLE MAINTENANCE AC SPLIT</t>
  </si>
  <si>
    <t>Ltr</t>
  </si>
  <si>
    <t>Freon R22</t>
  </si>
  <si>
    <t>Freon R41</t>
  </si>
  <si>
    <t>Freon R32</t>
  </si>
  <si>
    <t>Set</t>
  </si>
  <si>
    <t>Parameter</t>
  </si>
  <si>
    <t>Nilai</t>
  </si>
  <si>
    <t>Biaya (Tools+APD)</t>
  </si>
  <si>
    <t>Biaya (Consumable)</t>
  </si>
  <si>
    <t>Biaya (Tenaga Kerja)</t>
  </si>
  <si>
    <t>Banyak AC</t>
  </si>
  <si>
    <t>Unit</t>
  </si>
  <si>
    <t>Item</t>
  </si>
  <si>
    <t>Frekuensi</t>
  </si>
  <si>
    <t>kali pembersihan</t>
  </si>
  <si>
    <t>Gaji</t>
  </si>
  <si>
    <t>tahun (12 bulan)</t>
  </si>
  <si>
    <t>APD</t>
  </si>
  <si>
    <t>Transportasi</t>
  </si>
  <si>
    <t>Target Jumlah Proyek per tahun</t>
  </si>
  <si>
    <t>(1 minggu = 4) x 50 minggu</t>
  </si>
  <si>
    <t>Biaya Tenaga Kerja per Kunjungan</t>
  </si>
  <si>
    <t>Overhead &amp; Transportasi</t>
  </si>
  <si>
    <t>Kunjungan</t>
  </si>
  <si>
    <t>Total Biaya Satuan</t>
  </si>
  <si>
    <t>Margin Keuntungan Target</t>
  </si>
  <si>
    <t>Asumsi Consumable</t>
  </si>
  <si>
    <t>Tools + APD</t>
  </si>
  <si>
    <t>Parameter'</t>
  </si>
  <si>
    <t>Tenaga Kerja</t>
  </si>
  <si>
    <t>Cost per Unit</t>
  </si>
  <si>
    <t>Total Biaya Dasar</t>
  </si>
  <si>
    <t>Harga Jual per Unit</t>
  </si>
  <si>
    <t>Jumlah AC</t>
  </si>
  <si>
    <t>Margin</t>
  </si>
  <si>
    <t>Keuntungan</t>
  </si>
  <si>
    <t>Unit Price + Margin</t>
  </si>
  <si>
    <t>Jadi angka Rp 4.650/m² itu termasuk harga dasar internal, masih di bawah kisaran pasar, cocok dijadikan harga pokok produksi (HPP) sebelum markup margin</t>
  </si>
  <si>
    <t>1 = 100% biaya pokok (modal awal)</t>
  </si>
  <si>
    <t>Perhitungan Biaya (Keuntungan)</t>
  </si>
  <si>
    <t>Total Pricelist (m)</t>
  </si>
  <si>
    <t>Maintenance AC Kaset</t>
  </si>
  <si>
    <t>TOOLS MAINTENANCE AC KASET</t>
  </si>
  <si>
    <t>10-15 m</t>
  </si>
  <si>
    <t>Plastik</t>
  </si>
  <si>
    <t>Terpal</t>
  </si>
  <si>
    <t>Tangga Alumunium 1,5 m</t>
  </si>
  <si>
    <t>1,5 m</t>
  </si>
  <si>
    <t>Tangga Alumunium 2 m</t>
  </si>
  <si>
    <t>2 m</t>
  </si>
  <si>
    <t>Kunci Inggris</t>
  </si>
  <si>
    <t>Kunci Inggris Uk. 8</t>
  </si>
  <si>
    <t>Kunci Inggris Uk. 10</t>
  </si>
  <si>
    <t>10 Inch</t>
  </si>
  <si>
    <t>Kuanci Inggris Uk. 12</t>
  </si>
  <si>
    <t>12 Inch</t>
  </si>
  <si>
    <t>20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</si>
</sst>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p]#,##0"/>
    <numFmt numFmtId="165" formatCode="#,##0.00;\(#,##0.00\)"/>
  </numFmts>
  <fonts count="8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name val="Arial"/>
    </font>
    <font>
      <sz val="10"/>
      <color theme="1"/>
      <name val="Times New Roman"/>
    </font>
    <font>
      <b/>
      <sz val="10"/>
      <color theme="1"/>
      <name val="Times New Roman"/>
    </font>
    <font>
      <sz val="10"/>
      <color theme="1"/>
      <name val="Times New Roman"/>
    </font>
    <font>
      <b/>
      <sz val="10"/>
      <color theme="1"/>
      <name val="Times New Roman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6D9EEB"/>
        <bgColor rgb="FF6D9EEB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/>
    <xf numFmtId="0" fontId="2" fillId="2" borderId="4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4" xfId="0" applyFont="1" applyBorder="1" applyAlignment="1">
      <alignment wrapText="1"/>
    </xf>
    <xf numFmtId="0" fontId="4" fillId="0" borderId="0" xfId="0" applyFont="1"/>
    <xf numFmtId="0" fontId="4" fillId="3" borderId="4" xfId="0" applyFont="1" applyFill="1" applyBorder="1" applyAlignment="1">
      <alignment wrapText="1"/>
    </xf>
    <xf numFmtId="0" fontId="4" fillId="3" borderId="4" xfId="0" applyFont="1" applyFill="1" applyBorder="1" applyAlignment="1">
      <alignment horizontal="center" wrapText="1"/>
    </xf>
    <xf numFmtId="164" fontId="4" fillId="0" borderId="0" xfId="0" applyNumberFormat="1" applyFont="1"/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center" wrapText="1"/>
    </xf>
    <xf numFmtId="0" fontId="5" fillId="4" borderId="4" xfId="0" applyFont="1" applyFill="1" applyBorder="1" applyAlignment="1">
      <alignment horizontal="center" wrapText="1"/>
    </xf>
    <xf numFmtId="164" fontId="4" fillId="0" borderId="4" xfId="0" applyNumberFormat="1" applyFont="1" applyBorder="1" applyAlignment="1">
      <alignment horizontal="right" wrapText="1"/>
    </xf>
    <xf numFmtId="0" fontId="4" fillId="5" borderId="4" xfId="0" applyFont="1" applyFill="1" applyBorder="1" applyAlignment="1">
      <alignment wrapText="1"/>
    </xf>
    <xf numFmtId="164" fontId="4" fillId="5" borderId="4" xfId="0" applyNumberFormat="1" applyFont="1" applyFill="1" applyBorder="1" applyAlignment="1">
      <alignment horizontal="right" wrapText="1"/>
    </xf>
    <xf numFmtId="0" fontId="4" fillId="6" borderId="4" xfId="0" applyFont="1" applyFill="1" applyBorder="1" applyAlignment="1">
      <alignment wrapText="1"/>
    </xf>
    <xf numFmtId="0" fontId="4" fillId="6" borderId="4" xfId="0" applyFont="1" applyFill="1" applyBorder="1" applyAlignment="1">
      <alignment horizontal="center" wrapText="1"/>
    </xf>
    <xf numFmtId="0" fontId="5" fillId="8" borderId="4" xfId="0" applyFont="1" applyFill="1" applyBorder="1" applyAlignment="1">
      <alignment horizontal="center" vertical="center" wrapText="1"/>
    </xf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164" fontId="4" fillId="0" borderId="4" xfId="0" applyNumberFormat="1" applyFont="1" applyBorder="1"/>
    <xf numFmtId="164" fontId="4" fillId="4" borderId="4" xfId="0" applyNumberFormat="1" applyFont="1" applyFill="1" applyBorder="1"/>
    <xf numFmtId="0" fontId="2" fillId="9" borderId="4" xfId="0" applyFont="1" applyFill="1" applyBorder="1" applyAlignment="1">
      <alignment wrapText="1"/>
    </xf>
    <xf numFmtId="0" fontId="2" fillId="9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6" borderId="4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 wrapText="1"/>
    </xf>
    <xf numFmtId="165" fontId="1" fillId="0" borderId="4" xfId="0" applyNumberFormat="1" applyFont="1" applyBorder="1" applyAlignment="1">
      <alignment horizontal="right"/>
    </xf>
    <xf numFmtId="0" fontId="1" fillId="10" borderId="4" xfId="0" applyFont="1" applyFill="1" applyBorder="1"/>
    <xf numFmtId="165" fontId="1" fillId="10" borderId="4" xfId="0" applyNumberFormat="1" applyFont="1" applyFill="1" applyBorder="1" applyAlignment="1">
      <alignment horizontal="right"/>
    </xf>
    <xf numFmtId="164" fontId="1" fillId="0" borderId="4" xfId="0" applyNumberFormat="1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9" fontId="1" fillId="0" borderId="4" xfId="0" applyNumberFormat="1" applyFont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164" fontId="1" fillId="0" borderId="0" xfId="0" applyNumberFormat="1" applyFont="1" applyAlignment="1">
      <alignment horizontal="right"/>
    </xf>
    <xf numFmtId="0" fontId="2" fillId="0" borderId="4" xfId="0" applyFont="1" applyBorder="1" applyAlignment="1">
      <alignment wrapText="1"/>
    </xf>
    <xf numFmtId="164" fontId="1" fillId="10" borderId="4" xfId="0" applyNumberFormat="1" applyFont="1" applyFill="1" applyBorder="1" applyAlignment="1">
      <alignment horizontal="right"/>
    </xf>
    <xf numFmtId="0" fontId="1" fillId="0" borderId="0" xfId="0" applyFont="1" applyAlignment="1">
      <alignment wrapText="1"/>
    </xf>
    <xf numFmtId="0" fontId="2" fillId="9" borderId="4" xfId="0" applyFont="1" applyFill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4" fontId="1" fillId="0" borderId="4" xfId="0" applyNumberFormat="1" applyFont="1" applyBorder="1" applyAlignment="1">
      <alignment horizontal="right"/>
    </xf>
    <xf numFmtId="4" fontId="1" fillId="0" borderId="4" xfId="0" applyNumberFormat="1" applyFont="1" applyBorder="1"/>
    <xf numFmtId="164" fontId="1" fillId="0" borderId="0" xfId="0" applyNumberFormat="1" applyFont="1" applyAlignment="1">
      <alignment horizontal="left" wrapText="1"/>
    </xf>
    <xf numFmtId="164" fontId="1" fillId="0" borderId="0" xfId="0" applyNumberFormat="1" applyFont="1"/>
    <xf numFmtId="0" fontId="6" fillId="0" borderId="0" xfId="0" applyFont="1"/>
    <xf numFmtId="0" fontId="6" fillId="3" borderId="4" xfId="0" applyFont="1" applyFill="1" applyBorder="1" applyAlignment="1">
      <alignment wrapText="1"/>
    </xf>
    <xf numFmtId="0" fontId="6" fillId="3" borderId="4" xfId="0" applyFont="1" applyFill="1" applyBorder="1" applyAlignment="1">
      <alignment horizontal="center" wrapText="1"/>
    </xf>
    <xf numFmtId="164" fontId="6" fillId="0" borderId="0" xfId="0" applyNumberFormat="1" applyFont="1"/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horizontal="center" wrapText="1"/>
    </xf>
    <xf numFmtId="0" fontId="7" fillId="4" borderId="4" xfId="0" applyFont="1" applyFill="1" applyBorder="1" applyAlignment="1">
      <alignment horizontal="center" wrapText="1"/>
    </xf>
    <xf numFmtId="164" fontId="6" fillId="0" borderId="4" xfId="0" applyNumberFormat="1" applyFont="1" applyBorder="1" applyAlignment="1">
      <alignment horizontal="right" wrapText="1"/>
    </xf>
    <xf numFmtId="0" fontId="6" fillId="5" borderId="4" xfId="0" applyFont="1" applyFill="1" applyBorder="1" applyAlignment="1">
      <alignment wrapText="1"/>
    </xf>
    <xf numFmtId="164" fontId="6" fillId="5" borderId="4" xfId="0" applyNumberFormat="1" applyFont="1" applyFill="1" applyBorder="1" applyAlignment="1">
      <alignment horizontal="right" wrapText="1"/>
    </xf>
    <xf numFmtId="0" fontId="6" fillId="6" borderId="4" xfId="0" applyFont="1" applyFill="1" applyBorder="1" applyAlignment="1">
      <alignment wrapText="1"/>
    </xf>
    <xf numFmtId="0" fontId="6" fillId="6" borderId="4" xfId="0" applyFont="1" applyFill="1" applyBorder="1" applyAlignment="1">
      <alignment horizontal="center" wrapText="1"/>
    </xf>
    <xf numFmtId="0" fontId="7" fillId="8" borderId="4" xfId="0" applyFont="1" applyFill="1" applyBorder="1" applyAlignment="1">
      <alignment horizontal="center" vertical="center" wrapText="1"/>
    </xf>
    <xf numFmtId="0" fontId="6" fillId="0" borderId="4" xfId="0" applyFont="1" applyBorder="1"/>
    <xf numFmtId="0" fontId="6" fillId="0" borderId="4" xfId="0" applyFont="1" applyBorder="1" applyAlignment="1">
      <alignment horizontal="center"/>
    </xf>
    <xf numFmtId="164" fontId="6" fillId="0" borderId="4" xfId="0" applyNumberFormat="1" applyFont="1" applyBorder="1"/>
    <xf numFmtId="164" fontId="6" fillId="4" borderId="4" xfId="0" applyNumberFormat="1" applyFont="1" applyFill="1" applyBorder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" fillId="0" borderId="5" xfId="0" applyFont="1" applyBorder="1" applyAlignment="1">
      <alignment wrapText="1"/>
    </xf>
    <xf numFmtId="0" fontId="3" fillId="0" borderId="6" xfId="0" applyFont="1" applyBorder="1"/>
    <xf numFmtId="0" fontId="3" fillId="0" borderId="7" xfId="0" applyFont="1" applyBorder="1"/>
    <xf numFmtId="0" fontId="5" fillId="7" borderId="1" xfId="0" applyFont="1" applyFill="1" applyBorder="1" applyAlignment="1">
      <alignment horizont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164" fontId="5" fillId="8" borderId="5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 wrapText="1"/>
    </xf>
    <xf numFmtId="0" fontId="1" fillId="2" borderId="1" xfId="0" applyFont="1" applyFill="1" applyBorder="1"/>
    <xf numFmtId="0" fontId="2" fillId="0" borderId="1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right" wrapText="1"/>
    </xf>
    <xf numFmtId="164" fontId="1" fillId="0" borderId="0" xfId="0" applyNumberFormat="1" applyFont="1" applyAlignment="1">
      <alignment horizontal="right" wrapText="1"/>
    </xf>
    <xf numFmtId="0" fontId="0" fillId="0" borderId="0" xfId="0"/>
    <xf numFmtId="0" fontId="1" fillId="0" borderId="0" xfId="0" applyFont="1" applyAlignment="1">
      <alignment horizontal="right" wrapText="1"/>
    </xf>
    <xf numFmtId="0" fontId="1" fillId="0" borderId="0" xfId="0" applyFont="1" applyAlignment="1">
      <alignment wrapText="1"/>
    </xf>
    <xf numFmtId="0" fontId="6" fillId="9" borderId="1" xfId="0" applyFont="1" applyFill="1" applyBorder="1" applyAlignment="1">
      <alignment horizontal="center"/>
    </xf>
    <xf numFmtId="0" fontId="7" fillId="8" borderId="5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wrapText="1"/>
    </xf>
    <xf numFmtId="0" fontId="7" fillId="8" borderId="1" xfId="0" applyFont="1" applyFill="1" applyBorder="1" applyAlignment="1">
      <alignment horizontal="center" vertical="center" wrapText="1"/>
    </xf>
    <xf numFmtId="164" fontId="7" fillId="8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2"/>
  <sheetViews>
    <sheetView workbookViewId="0"/>
  </sheetViews>
  <sheetFormatPr defaultColWidth="12.6640625" defaultRowHeight="15.75" customHeight="1" x14ac:dyDescent="0.25"/>
  <cols>
    <col min="3" max="3" width="6.44140625" customWidth="1"/>
    <col min="4" max="4" width="25.77734375" customWidth="1"/>
    <col min="6" max="6" width="28.6640625" customWidth="1"/>
    <col min="10" max="10" width="28.44140625" customWidth="1"/>
    <col min="12" max="12" width="23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64" t="s">
        <v>0</v>
      </c>
      <c r="C2" s="65"/>
      <c r="D2" s="65"/>
      <c r="E2" s="65"/>
      <c r="F2" s="66"/>
      <c r="G2" s="1"/>
      <c r="H2" s="64" t="s">
        <v>1</v>
      </c>
      <c r="I2" s="65"/>
      <c r="J2" s="65"/>
      <c r="K2" s="65"/>
      <c r="L2" s="66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1"/>
      <c r="H3" s="2" t="s">
        <v>2</v>
      </c>
      <c r="I3" s="2" t="s">
        <v>3</v>
      </c>
      <c r="J3" s="2" t="s">
        <v>4</v>
      </c>
      <c r="K3" s="2" t="s">
        <v>5</v>
      </c>
      <c r="L3" s="2" t="s">
        <v>6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67" t="s">
        <v>7</v>
      </c>
      <c r="C4" s="3">
        <v>1</v>
      </c>
      <c r="D4" s="4" t="s">
        <v>8</v>
      </c>
      <c r="E4" s="4" t="s">
        <v>9</v>
      </c>
      <c r="F4" s="4" t="s">
        <v>10</v>
      </c>
      <c r="G4" s="1"/>
      <c r="H4" s="67" t="s">
        <v>7</v>
      </c>
      <c r="I4" s="3">
        <v>1</v>
      </c>
      <c r="J4" s="4" t="s">
        <v>11</v>
      </c>
      <c r="K4" s="4" t="s">
        <v>9</v>
      </c>
      <c r="L4" s="4" t="s">
        <v>12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68"/>
      <c r="C5" s="3">
        <v>2</v>
      </c>
      <c r="D5" s="4" t="s">
        <v>13</v>
      </c>
      <c r="E5" s="4" t="s">
        <v>14</v>
      </c>
      <c r="F5" s="4" t="s">
        <v>15</v>
      </c>
      <c r="G5" s="1"/>
      <c r="H5" s="68"/>
      <c r="I5" s="3">
        <v>2</v>
      </c>
      <c r="J5" s="4" t="s">
        <v>16</v>
      </c>
      <c r="K5" s="4" t="s">
        <v>14</v>
      </c>
      <c r="L5" s="4" t="s">
        <v>17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"/>
      <c r="B6" s="68"/>
      <c r="C6" s="3">
        <v>3</v>
      </c>
      <c r="D6" s="4" t="s">
        <v>18</v>
      </c>
      <c r="E6" s="4" t="s">
        <v>14</v>
      </c>
      <c r="F6" s="4" t="s">
        <v>19</v>
      </c>
      <c r="G6" s="1"/>
      <c r="H6" s="68"/>
      <c r="I6" s="3">
        <v>3</v>
      </c>
      <c r="J6" s="4" t="s">
        <v>20</v>
      </c>
      <c r="K6" s="4" t="s">
        <v>14</v>
      </c>
      <c r="L6" s="4" t="s">
        <v>21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/>
      <c r="B7" s="68"/>
      <c r="C7" s="3">
        <v>4</v>
      </c>
      <c r="D7" s="4" t="s">
        <v>22</v>
      </c>
      <c r="E7" s="4" t="s">
        <v>9</v>
      </c>
      <c r="F7" s="4" t="s">
        <v>23</v>
      </c>
      <c r="G7" s="1"/>
      <c r="H7" s="68"/>
      <c r="I7" s="3">
        <v>4</v>
      </c>
      <c r="J7" s="4" t="s">
        <v>24</v>
      </c>
      <c r="K7" s="4" t="s">
        <v>9</v>
      </c>
      <c r="L7" s="4" t="s">
        <v>25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"/>
      <c r="B8" s="68"/>
      <c r="C8" s="3">
        <v>5</v>
      </c>
      <c r="D8" s="4" t="s">
        <v>26</v>
      </c>
      <c r="E8" s="4" t="s">
        <v>9</v>
      </c>
      <c r="F8" s="5" t="s">
        <v>27</v>
      </c>
      <c r="G8" s="1"/>
      <c r="H8" s="68"/>
      <c r="I8" s="3">
        <v>5</v>
      </c>
      <c r="J8" s="4" t="s">
        <v>28</v>
      </c>
      <c r="K8" s="4" t="s">
        <v>9</v>
      </c>
      <c r="L8" s="4" t="s">
        <v>29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"/>
      <c r="B9" s="68"/>
      <c r="C9" s="3">
        <v>6</v>
      </c>
      <c r="D9" s="4" t="s">
        <v>30</v>
      </c>
      <c r="E9" s="4" t="s">
        <v>9</v>
      </c>
      <c r="F9" s="4" t="s">
        <v>31</v>
      </c>
      <c r="G9" s="1"/>
      <c r="H9" s="68"/>
      <c r="I9" s="3">
        <v>6</v>
      </c>
      <c r="J9" s="4" t="s">
        <v>30</v>
      </c>
      <c r="K9" s="4" t="s">
        <v>9</v>
      </c>
      <c r="L9" s="4" t="s">
        <v>32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"/>
      <c r="B10" s="68"/>
      <c r="C10" s="3">
        <v>7</v>
      </c>
      <c r="D10" s="4" t="s">
        <v>33</v>
      </c>
      <c r="E10" s="4" t="s">
        <v>9</v>
      </c>
      <c r="F10" s="4" t="s">
        <v>34</v>
      </c>
      <c r="G10" s="1"/>
      <c r="H10" s="68"/>
      <c r="I10" s="3">
        <v>7</v>
      </c>
      <c r="J10" s="4" t="s">
        <v>33</v>
      </c>
      <c r="K10" s="4" t="s">
        <v>9</v>
      </c>
      <c r="L10" s="4" t="s">
        <v>35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"/>
      <c r="B11" s="68"/>
      <c r="C11" s="3">
        <v>8</v>
      </c>
      <c r="D11" s="4" t="s">
        <v>36</v>
      </c>
      <c r="E11" s="4" t="s">
        <v>37</v>
      </c>
      <c r="F11" s="4" t="s">
        <v>38</v>
      </c>
      <c r="G11" s="1"/>
      <c r="H11" s="68"/>
      <c r="I11" s="3">
        <v>8</v>
      </c>
      <c r="J11" s="4" t="s">
        <v>39</v>
      </c>
      <c r="K11" s="4" t="s">
        <v>37</v>
      </c>
      <c r="L11" s="4" t="s">
        <v>40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68"/>
      <c r="C12" s="3">
        <v>9</v>
      </c>
      <c r="D12" s="4" t="s">
        <v>41</v>
      </c>
      <c r="E12" s="4" t="s">
        <v>42</v>
      </c>
      <c r="F12" s="4" t="s">
        <v>43</v>
      </c>
      <c r="G12" s="1"/>
      <c r="H12" s="68"/>
      <c r="I12" s="3">
        <v>9</v>
      </c>
      <c r="J12" s="4" t="s">
        <v>44</v>
      </c>
      <c r="K12" s="4" t="s">
        <v>9</v>
      </c>
      <c r="L12" s="4" t="s">
        <v>45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68"/>
      <c r="C13" s="3">
        <v>10</v>
      </c>
      <c r="D13" s="4" t="s">
        <v>46</v>
      </c>
      <c r="E13" s="4" t="s">
        <v>9</v>
      </c>
      <c r="F13" s="4" t="s">
        <v>47</v>
      </c>
      <c r="G13" s="1"/>
      <c r="H13" s="68"/>
      <c r="I13" s="3">
        <v>10</v>
      </c>
      <c r="J13" s="4" t="s">
        <v>48</v>
      </c>
      <c r="K13" s="4" t="s">
        <v>37</v>
      </c>
      <c r="L13" s="4" t="s">
        <v>49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/>
      <c r="B14" s="68"/>
      <c r="C14" s="3">
        <v>11</v>
      </c>
      <c r="D14" s="4" t="s">
        <v>50</v>
      </c>
      <c r="E14" s="4" t="s">
        <v>14</v>
      </c>
      <c r="F14" s="4" t="s">
        <v>51</v>
      </c>
      <c r="G14" s="1"/>
      <c r="H14" s="68"/>
      <c r="I14" s="3">
        <v>11</v>
      </c>
      <c r="J14" s="4" t="s">
        <v>52</v>
      </c>
      <c r="K14" s="4" t="s">
        <v>14</v>
      </c>
      <c r="L14" s="4" t="s">
        <v>53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68"/>
      <c r="C15" s="3">
        <v>12</v>
      </c>
      <c r="D15" s="4" t="s">
        <v>54</v>
      </c>
      <c r="E15" s="4" t="s">
        <v>14</v>
      </c>
      <c r="F15" s="4" t="s">
        <v>55</v>
      </c>
      <c r="G15" s="1"/>
      <c r="H15" s="68"/>
      <c r="I15" s="3">
        <v>12</v>
      </c>
      <c r="J15" s="4" t="s">
        <v>41</v>
      </c>
      <c r="K15" s="4" t="s">
        <v>42</v>
      </c>
      <c r="L15" s="4" t="s">
        <v>43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68"/>
      <c r="C16" s="3">
        <v>13</v>
      </c>
      <c r="D16" s="4" t="s">
        <v>56</v>
      </c>
      <c r="E16" s="4" t="s">
        <v>37</v>
      </c>
      <c r="F16" s="4" t="s">
        <v>57</v>
      </c>
      <c r="G16" s="1"/>
      <c r="H16" s="68"/>
      <c r="I16" s="3">
        <v>13</v>
      </c>
      <c r="J16" s="4" t="s">
        <v>50</v>
      </c>
      <c r="K16" s="4" t="s">
        <v>14</v>
      </c>
      <c r="L16" s="4" t="s">
        <v>58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68"/>
      <c r="C17" s="3">
        <v>14</v>
      </c>
      <c r="D17" s="4" t="s">
        <v>59</v>
      </c>
      <c r="E17" s="4" t="s">
        <v>37</v>
      </c>
      <c r="F17" s="5" t="s">
        <v>60</v>
      </c>
      <c r="G17" s="1"/>
      <c r="H17" s="69"/>
      <c r="I17" s="3">
        <v>14</v>
      </c>
      <c r="J17" s="4" t="s">
        <v>59</v>
      </c>
      <c r="K17" s="4" t="s">
        <v>37</v>
      </c>
      <c r="L17" s="5" t="s">
        <v>60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69"/>
      <c r="C18" s="3">
        <v>15</v>
      </c>
      <c r="D18" s="4" t="s">
        <v>61</v>
      </c>
      <c r="E18" s="4" t="s">
        <v>14</v>
      </c>
      <c r="F18" s="4" t="s">
        <v>62</v>
      </c>
      <c r="G18" s="1"/>
      <c r="H18" s="67" t="s">
        <v>63</v>
      </c>
      <c r="I18" s="3">
        <v>15</v>
      </c>
      <c r="J18" s="4" t="s">
        <v>64</v>
      </c>
      <c r="K18" s="4" t="s">
        <v>65</v>
      </c>
      <c r="L18" s="4" t="s">
        <v>66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67" t="s">
        <v>63</v>
      </c>
      <c r="C19" s="3">
        <v>16</v>
      </c>
      <c r="D19" s="5" t="s">
        <v>67</v>
      </c>
      <c r="E19" s="5" t="s">
        <v>68</v>
      </c>
      <c r="F19" s="5" t="s">
        <v>69</v>
      </c>
      <c r="G19" s="1"/>
      <c r="H19" s="68"/>
      <c r="I19" s="3">
        <v>16</v>
      </c>
      <c r="J19" s="4" t="s">
        <v>70</v>
      </c>
      <c r="K19" s="4" t="s">
        <v>71</v>
      </c>
      <c r="L19" s="4" t="s">
        <v>72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/>
      <c r="B20" s="68"/>
      <c r="C20" s="3">
        <v>17</v>
      </c>
      <c r="D20" s="4" t="s">
        <v>70</v>
      </c>
      <c r="E20" s="4" t="s">
        <v>73</v>
      </c>
      <c r="F20" s="4" t="s">
        <v>74</v>
      </c>
      <c r="G20" s="1"/>
      <c r="H20" s="68"/>
      <c r="I20" s="3">
        <v>17</v>
      </c>
      <c r="J20" s="4" t="s">
        <v>75</v>
      </c>
      <c r="K20" s="4" t="s">
        <v>76</v>
      </c>
      <c r="L20" s="4" t="s">
        <v>77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"/>
      <c r="B21" s="68"/>
      <c r="C21" s="3">
        <v>18</v>
      </c>
      <c r="D21" s="4" t="s">
        <v>78</v>
      </c>
      <c r="E21" s="4" t="s">
        <v>79</v>
      </c>
      <c r="F21" s="4" t="s">
        <v>80</v>
      </c>
      <c r="G21" s="1"/>
      <c r="H21" s="68"/>
      <c r="I21" s="3">
        <v>18</v>
      </c>
      <c r="J21" s="4" t="s">
        <v>81</v>
      </c>
      <c r="K21" s="4" t="s">
        <v>82</v>
      </c>
      <c r="L21" s="4" t="s">
        <v>83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"/>
      <c r="B22" s="68"/>
      <c r="C22" s="3">
        <v>19</v>
      </c>
      <c r="D22" s="4" t="s">
        <v>84</v>
      </c>
      <c r="E22" s="4" t="s">
        <v>82</v>
      </c>
      <c r="F22" s="4" t="s">
        <v>85</v>
      </c>
      <c r="G22" s="1"/>
      <c r="H22" s="68"/>
      <c r="I22" s="3">
        <v>19</v>
      </c>
      <c r="J22" s="4" t="s">
        <v>86</v>
      </c>
      <c r="K22" s="4" t="s">
        <v>42</v>
      </c>
      <c r="L22" s="4" t="s">
        <v>43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"/>
      <c r="B23" s="68"/>
      <c r="C23" s="3">
        <v>20</v>
      </c>
      <c r="D23" s="4" t="s">
        <v>87</v>
      </c>
      <c r="E23" s="4"/>
      <c r="F23" s="4" t="s">
        <v>88</v>
      </c>
      <c r="G23" s="1"/>
      <c r="H23" s="69"/>
      <c r="I23" s="3">
        <v>20</v>
      </c>
      <c r="J23" s="4" t="s">
        <v>87</v>
      </c>
      <c r="K23" s="4"/>
      <c r="L23" s="4" t="s">
        <v>88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"/>
      <c r="B24" s="69"/>
      <c r="C24" s="3">
        <v>21</v>
      </c>
      <c r="D24" s="4" t="s">
        <v>89</v>
      </c>
      <c r="E24" s="4" t="s">
        <v>82</v>
      </c>
      <c r="F24" s="4" t="s">
        <v>90</v>
      </c>
      <c r="G24" s="1"/>
      <c r="H24" s="67" t="s">
        <v>91</v>
      </c>
      <c r="I24" s="3">
        <v>21</v>
      </c>
      <c r="J24" s="4" t="s">
        <v>92</v>
      </c>
      <c r="K24" s="4" t="s">
        <v>93</v>
      </c>
      <c r="L24" s="4" t="s">
        <v>94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"/>
      <c r="B25" s="67" t="s">
        <v>91</v>
      </c>
      <c r="C25" s="3">
        <v>22</v>
      </c>
      <c r="D25" s="4" t="s">
        <v>95</v>
      </c>
      <c r="E25" s="4" t="s">
        <v>93</v>
      </c>
      <c r="F25" s="4" t="s">
        <v>96</v>
      </c>
      <c r="G25" s="1"/>
      <c r="H25" s="68"/>
      <c r="I25" s="3">
        <v>22</v>
      </c>
      <c r="J25" s="4" t="s">
        <v>97</v>
      </c>
      <c r="K25" s="4" t="s">
        <v>93</v>
      </c>
      <c r="L25" s="4" t="s">
        <v>98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"/>
      <c r="B26" s="68"/>
      <c r="C26" s="3">
        <v>23</v>
      </c>
      <c r="D26" s="4" t="s">
        <v>99</v>
      </c>
      <c r="E26" s="4" t="s">
        <v>14</v>
      </c>
      <c r="F26" s="4" t="s">
        <v>100</v>
      </c>
      <c r="G26" s="1"/>
      <c r="H26" s="69"/>
      <c r="I26" s="3">
        <v>23</v>
      </c>
      <c r="J26" s="4" t="s">
        <v>99</v>
      </c>
      <c r="K26" s="4" t="s">
        <v>14</v>
      </c>
      <c r="L26" s="4" t="s">
        <v>100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"/>
      <c r="B27" s="69"/>
      <c r="C27" s="3">
        <v>24</v>
      </c>
      <c r="D27" s="4" t="s">
        <v>101</v>
      </c>
      <c r="E27" s="4" t="s">
        <v>93</v>
      </c>
      <c r="F27" s="4" t="s">
        <v>102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8">
    <mergeCell ref="B2:F2"/>
    <mergeCell ref="H2:L2"/>
    <mergeCell ref="B4:B18"/>
    <mergeCell ref="H4:H17"/>
    <mergeCell ref="H18:H23"/>
    <mergeCell ref="B19:B24"/>
    <mergeCell ref="H24:H26"/>
    <mergeCell ref="B25:B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2"/>
  <sheetViews>
    <sheetView workbookViewId="0"/>
  </sheetViews>
  <sheetFormatPr defaultColWidth="12.6640625" defaultRowHeight="15.75" customHeight="1" x14ac:dyDescent="0.25"/>
  <cols>
    <col min="2" max="2" width="39.77734375" customWidth="1"/>
    <col min="3" max="3" width="21.109375" customWidth="1"/>
  </cols>
  <sheetData>
    <row r="1" spans="1:26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25">
      <c r="A3" s="6"/>
      <c r="B3" s="7" t="s">
        <v>103</v>
      </c>
      <c r="C3" s="8" t="s">
        <v>104</v>
      </c>
      <c r="D3" s="6"/>
      <c r="E3" s="6"/>
      <c r="F3" s="6"/>
      <c r="G3" s="9"/>
      <c r="H3" s="6"/>
      <c r="I3" s="9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x14ac:dyDescent="0.25">
      <c r="A4" s="6"/>
      <c r="B4" s="10" t="s">
        <v>105</v>
      </c>
      <c r="C4" s="11" t="s">
        <v>106</v>
      </c>
      <c r="D4" s="6"/>
      <c r="E4" s="6"/>
      <c r="F4" s="6"/>
      <c r="G4" s="9"/>
      <c r="H4" s="6"/>
      <c r="I4" s="9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x14ac:dyDescent="0.25">
      <c r="A5" s="6"/>
      <c r="B5" s="10" t="s">
        <v>107</v>
      </c>
      <c r="C5" s="11" t="s">
        <v>108</v>
      </c>
      <c r="D5" s="6"/>
      <c r="E5" s="6"/>
      <c r="F5" s="6"/>
      <c r="G5" s="9"/>
      <c r="H5" s="6"/>
      <c r="I5" s="9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x14ac:dyDescent="0.25">
      <c r="A6" s="6"/>
      <c r="B6" s="6"/>
      <c r="C6" s="6"/>
      <c r="D6" s="6"/>
      <c r="E6" s="6"/>
      <c r="F6" s="6"/>
      <c r="G6" s="9"/>
      <c r="H6" s="6"/>
      <c r="I6" s="9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x14ac:dyDescent="0.25">
      <c r="A7" s="6"/>
      <c r="B7" s="6"/>
      <c r="C7" s="6"/>
      <c r="D7" s="6"/>
      <c r="E7" s="6"/>
      <c r="F7" s="6"/>
      <c r="G7" s="9"/>
      <c r="H7" s="6"/>
      <c r="I7" s="9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x14ac:dyDescent="0.25">
      <c r="A8" s="6"/>
      <c r="B8" s="12" t="s">
        <v>109</v>
      </c>
      <c r="C8" s="12" t="s">
        <v>110</v>
      </c>
      <c r="D8" s="6"/>
      <c r="E8" s="6"/>
      <c r="F8" s="6"/>
      <c r="G8" s="9"/>
      <c r="H8" s="6"/>
      <c r="I8" s="9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x14ac:dyDescent="0.25">
      <c r="A9" s="6"/>
      <c r="B9" s="10" t="s">
        <v>111</v>
      </c>
      <c r="C9" s="13">
        <f>I43</f>
        <v>639159.20833333326</v>
      </c>
      <c r="D9" s="6"/>
      <c r="E9" s="6"/>
      <c r="F9" s="6"/>
      <c r="G9" s="9"/>
      <c r="H9" s="6"/>
      <c r="I9" s="9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x14ac:dyDescent="0.25">
      <c r="A10" s="6"/>
      <c r="B10" s="10" t="s">
        <v>112</v>
      </c>
      <c r="C10" s="13">
        <f>I57</f>
        <v>521090</v>
      </c>
      <c r="D10" s="6"/>
      <c r="E10" s="6"/>
      <c r="F10" s="6"/>
      <c r="G10" s="9"/>
      <c r="H10" s="6"/>
      <c r="I10" s="9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x14ac:dyDescent="0.25">
      <c r="A11" s="6"/>
      <c r="B11" s="10" t="s">
        <v>113</v>
      </c>
      <c r="C11" s="13">
        <f>I66</f>
        <v>153070.29166666666</v>
      </c>
      <c r="D11" s="6"/>
      <c r="E11" s="6"/>
      <c r="F11" s="6"/>
      <c r="G11" s="9"/>
      <c r="H11" s="6"/>
      <c r="I11" s="9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x14ac:dyDescent="0.25">
      <c r="A12" s="6"/>
      <c r="B12" s="14" t="s">
        <v>110</v>
      </c>
      <c r="C12" s="15">
        <f>SUM(C9:C11)</f>
        <v>1313319.5</v>
      </c>
      <c r="D12" s="6"/>
      <c r="E12" s="6"/>
      <c r="F12" s="6"/>
      <c r="G12" s="9"/>
      <c r="H12" s="6"/>
      <c r="I12" s="9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x14ac:dyDescent="0.25">
      <c r="A13" s="6"/>
      <c r="B13" s="6"/>
      <c r="C13" s="6"/>
      <c r="D13" s="6"/>
      <c r="E13" s="6"/>
      <c r="F13" s="6"/>
      <c r="G13" s="9"/>
      <c r="H13" s="6"/>
      <c r="I13" s="9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x14ac:dyDescent="0.25">
      <c r="A14" s="6"/>
      <c r="B14" s="16" t="s">
        <v>114</v>
      </c>
      <c r="C14" s="17" t="s">
        <v>115</v>
      </c>
      <c r="D14" s="17" t="s">
        <v>6</v>
      </c>
      <c r="E14" s="6"/>
      <c r="F14" s="6"/>
      <c r="G14" s="9"/>
      <c r="H14" s="6"/>
      <c r="I14" s="9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x14ac:dyDescent="0.25">
      <c r="A15" s="6"/>
      <c r="B15" s="10" t="s">
        <v>116</v>
      </c>
      <c r="C15" s="11">
        <v>3</v>
      </c>
      <c r="D15" s="11" t="s">
        <v>117</v>
      </c>
      <c r="E15" s="6"/>
      <c r="F15" s="6"/>
      <c r="G15" s="9"/>
      <c r="H15" s="6"/>
      <c r="I15" s="9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x14ac:dyDescent="0.25">
      <c r="A16" s="6"/>
      <c r="B16" s="10" t="s">
        <v>118</v>
      </c>
      <c r="C16" s="11">
        <v>8</v>
      </c>
      <c r="D16" s="11" t="s">
        <v>119</v>
      </c>
      <c r="E16" s="6"/>
      <c r="F16" s="6"/>
      <c r="G16" s="9"/>
      <c r="H16" s="6"/>
      <c r="I16" s="9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x14ac:dyDescent="0.25">
      <c r="A17" s="6"/>
      <c r="B17" s="6"/>
      <c r="C17" s="6"/>
      <c r="D17" s="6"/>
      <c r="E17" s="6"/>
      <c r="F17" s="6"/>
      <c r="G17" s="9"/>
      <c r="H17" s="6"/>
      <c r="I17" s="9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x14ac:dyDescent="0.25">
      <c r="A18" s="6"/>
      <c r="B18" s="6"/>
      <c r="C18" s="6"/>
      <c r="D18" s="6"/>
      <c r="E18" s="6"/>
      <c r="F18" s="6"/>
      <c r="G18" s="9"/>
      <c r="H18" s="6"/>
      <c r="I18" s="9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x14ac:dyDescent="0.25">
      <c r="A19" s="6"/>
      <c r="B19" s="6"/>
      <c r="C19" s="6"/>
      <c r="D19" s="6"/>
      <c r="E19" s="6"/>
      <c r="F19" s="6"/>
      <c r="G19" s="9"/>
      <c r="H19" s="6"/>
      <c r="I19" s="9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x14ac:dyDescent="0.25">
      <c r="A20" s="6"/>
      <c r="B20" s="70" t="s">
        <v>120</v>
      </c>
      <c r="C20" s="65"/>
      <c r="D20" s="65"/>
      <c r="E20" s="65"/>
      <c r="F20" s="65"/>
      <c r="G20" s="65"/>
      <c r="H20" s="65"/>
      <c r="I20" s="6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x14ac:dyDescent="0.25">
      <c r="A21" s="6"/>
      <c r="B21" s="71" t="s">
        <v>4</v>
      </c>
      <c r="C21" s="71" t="s">
        <v>121</v>
      </c>
      <c r="D21" s="71" t="s">
        <v>122</v>
      </c>
      <c r="E21" s="72" t="s">
        <v>123</v>
      </c>
      <c r="F21" s="66"/>
      <c r="G21" s="73" t="s">
        <v>124</v>
      </c>
      <c r="H21" s="71" t="s">
        <v>125</v>
      </c>
      <c r="I21" s="73" t="s">
        <v>110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x14ac:dyDescent="0.25">
      <c r="A22" s="6"/>
      <c r="B22" s="69"/>
      <c r="C22" s="69"/>
      <c r="D22" s="69"/>
      <c r="E22" s="18" t="s">
        <v>115</v>
      </c>
      <c r="F22" s="18" t="s">
        <v>126</v>
      </c>
      <c r="G22" s="69"/>
      <c r="H22" s="69"/>
      <c r="I22" s="69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x14ac:dyDescent="0.25">
      <c r="A23" s="6"/>
      <c r="B23" s="19" t="s">
        <v>127</v>
      </c>
      <c r="C23" s="20" t="s">
        <v>106</v>
      </c>
      <c r="D23" s="20" t="s">
        <v>106</v>
      </c>
      <c r="E23" s="20">
        <v>1</v>
      </c>
      <c r="F23" s="20" t="s">
        <v>128</v>
      </c>
      <c r="G23" s="21">
        <v>1016500</v>
      </c>
      <c r="H23" s="20">
        <v>12</v>
      </c>
      <c r="I23" s="21">
        <f t="shared" ref="I23:I42" si="0">(G23*E23)/H23</f>
        <v>84708.333333333328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x14ac:dyDescent="0.25">
      <c r="A24" s="6"/>
      <c r="B24" s="19" t="s">
        <v>129</v>
      </c>
      <c r="C24" s="20" t="s">
        <v>106</v>
      </c>
      <c r="D24" s="20" t="s">
        <v>106</v>
      </c>
      <c r="E24" s="20">
        <v>1</v>
      </c>
      <c r="F24" s="20" t="s">
        <v>128</v>
      </c>
      <c r="G24" s="21">
        <v>417300</v>
      </c>
      <c r="H24" s="20">
        <v>24</v>
      </c>
      <c r="I24" s="21">
        <f t="shared" si="0"/>
        <v>17387.5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x14ac:dyDescent="0.25">
      <c r="A25" s="6"/>
      <c r="B25" s="19" t="s">
        <v>18</v>
      </c>
      <c r="C25" s="20" t="s">
        <v>106</v>
      </c>
      <c r="D25" s="20" t="s">
        <v>106</v>
      </c>
      <c r="E25" s="20">
        <v>1</v>
      </c>
      <c r="F25" s="20" t="s">
        <v>128</v>
      </c>
      <c r="G25" s="21">
        <v>66340</v>
      </c>
      <c r="H25" s="20">
        <v>1</v>
      </c>
      <c r="I25" s="21">
        <f t="shared" si="0"/>
        <v>66340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x14ac:dyDescent="0.25">
      <c r="A26" s="6"/>
      <c r="B26" s="19" t="s">
        <v>130</v>
      </c>
      <c r="C26" s="20" t="s">
        <v>106</v>
      </c>
      <c r="D26" s="20" t="s">
        <v>106</v>
      </c>
      <c r="E26" s="20">
        <v>1</v>
      </c>
      <c r="F26" s="20" t="s">
        <v>128</v>
      </c>
      <c r="G26" s="21">
        <v>1947400</v>
      </c>
      <c r="H26" s="20">
        <v>24</v>
      </c>
      <c r="I26" s="21">
        <f t="shared" si="0"/>
        <v>81141.666666666672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x14ac:dyDescent="0.25">
      <c r="A27" s="6"/>
      <c r="B27" s="19" t="s">
        <v>28</v>
      </c>
      <c r="C27" s="20" t="s">
        <v>106</v>
      </c>
      <c r="D27" s="20" t="s">
        <v>106</v>
      </c>
      <c r="E27" s="20">
        <v>1</v>
      </c>
      <c r="F27" s="20" t="s">
        <v>128</v>
      </c>
      <c r="G27" s="21">
        <v>1284000</v>
      </c>
      <c r="H27" s="20">
        <v>12</v>
      </c>
      <c r="I27" s="21">
        <f t="shared" si="0"/>
        <v>107000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x14ac:dyDescent="0.25">
      <c r="A28" s="6"/>
      <c r="B28" s="19" t="s">
        <v>131</v>
      </c>
      <c r="C28" s="20" t="s">
        <v>106</v>
      </c>
      <c r="D28" s="20" t="s">
        <v>106</v>
      </c>
      <c r="E28" s="20">
        <v>1</v>
      </c>
      <c r="F28" s="20" t="s">
        <v>128</v>
      </c>
      <c r="G28" s="21">
        <v>214000</v>
      </c>
      <c r="H28" s="20">
        <v>12</v>
      </c>
      <c r="I28" s="21">
        <f t="shared" si="0"/>
        <v>17833.333333333332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x14ac:dyDescent="0.25">
      <c r="A29" s="6"/>
      <c r="B29" s="19" t="s">
        <v>131</v>
      </c>
      <c r="C29" s="20" t="s">
        <v>106</v>
      </c>
      <c r="D29" s="20" t="s">
        <v>106</v>
      </c>
      <c r="E29" s="20">
        <v>1</v>
      </c>
      <c r="F29" s="20" t="s">
        <v>128</v>
      </c>
      <c r="G29" s="21">
        <v>695500</v>
      </c>
      <c r="H29" s="20">
        <v>12</v>
      </c>
      <c r="I29" s="21">
        <f t="shared" si="0"/>
        <v>57958.333333333336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x14ac:dyDescent="0.25">
      <c r="A30" s="6"/>
      <c r="B30" s="19" t="s">
        <v>131</v>
      </c>
      <c r="C30" s="20" t="s">
        <v>106</v>
      </c>
      <c r="D30" s="20" t="s">
        <v>106</v>
      </c>
      <c r="E30" s="20">
        <v>1</v>
      </c>
      <c r="F30" s="20" t="s">
        <v>128</v>
      </c>
      <c r="G30" s="21">
        <v>310300</v>
      </c>
      <c r="H30" s="20">
        <v>12</v>
      </c>
      <c r="I30" s="21">
        <f t="shared" si="0"/>
        <v>25858.333333333332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x14ac:dyDescent="0.25">
      <c r="A31" s="6"/>
      <c r="B31" s="19" t="s">
        <v>33</v>
      </c>
      <c r="C31" s="20" t="s">
        <v>106</v>
      </c>
      <c r="D31" s="20" t="s">
        <v>106</v>
      </c>
      <c r="E31" s="20">
        <v>1</v>
      </c>
      <c r="F31" s="20" t="s">
        <v>128</v>
      </c>
      <c r="G31" s="21">
        <v>177620</v>
      </c>
      <c r="H31" s="20">
        <v>12</v>
      </c>
      <c r="I31" s="21">
        <f t="shared" si="0"/>
        <v>14801.666666666666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x14ac:dyDescent="0.25">
      <c r="A32" s="6"/>
      <c r="B32" s="19" t="s">
        <v>132</v>
      </c>
      <c r="C32" s="20" t="s">
        <v>106</v>
      </c>
      <c r="D32" s="20" t="s">
        <v>106</v>
      </c>
      <c r="E32" s="20">
        <v>1</v>
      </c>
      <c r="F32" s="20" t="s">
        <v>128</v>
      </c>
      <c r="G32" s="21">
        <v>43870</v>
      </c>
      <c r="H32" s="20">
        <v>24</v>
      </c>
      <c r="I32" s="21">
        <f t="shared" si="0"/>
        <v>1827.9166666666667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x14ac:dyDescent="0.25">
      <c r="A33" s="6"/>
      <c r="B33" s="19" t="s">
        <v>133</v>
      </c>
      <c r="C33" s="20" t="s">
        <v>106</v>
      </c>
      <c r="D33" s="20" t="s">
        <v>106</v>
      </c>
      <c r="E33" s="20">
        <v>1</v>
      </c>
      <c r="F33" s="20" t="s">
        <v>128</v>
      </c>
      <c r="G33" s="21">
        <v>47080</v>
      </c>
      <c r="H33" s="20">
        <v>24</v>
      </c>
      <c r="I33" s="21">
        <f t="shared" si="0"/>
        <v>1961.6666666666667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x14ac:dyDescent="0.25">
      <c r="A34" s="6"/>
      <c r="B34" s="19" t="s">
        <v>134</v>
      </c>
      <c r="C34" s="20" t="s">
        <v>106</v>
      </c>
      <c r="D34" s="20" t="s">
        <v>106</v>
      </c>
      <c r="E34" s="20">
        <v>2</v>
      </c>
      <c r="F34" s="20" t="s">
        <v>128</v>
      </c>
      <c r="G34" s="21">
        <v>16050</v>
      </c>
      <c r="H34" s="20">
        <v>2</v>
      </c>
      <c r="I34" s="21">
        <f t="shared" si="0"/>
        <v>16050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x14ac:dyDescent="0.25">
      <c r="A35" s="6"/>
      <c r="B35" s="19" t="s">
        <v>135</v>
      </c>
      <c r="C35" s="20" t="s">
        <v>106</v>
      </c>
      <c r="D35" s="20" t="s">
        <v>106</v>
      </c>
      <c r="E35" s="20">
        <v>1</v>
      </c>
      <c r="F35" s="20" t="s">
        <v>128</v>
      </c>
      <c r="G35" s="21">
        <v>37450</v>
      </c>
      <c r="H35" s="20">
        <v>3</v>
      </c>
      <c r="I35" s="21">
        <f t="shared" si="0"/>
        <v>12483.333333333334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x14ac:dyDescent="0.25">
      <c r="A36" s="6"/>
      <c r="B36" s="19" t="s">
        <v>136</v>
      </c>
      <c r="C36" s="20" t="s">
        <v>137</v>
      </c>
      <c r="D36" s="20" t="s">
        <v>106</v>
      </c>
      <c r="E36" s="20">
        <v>1</v>
      </c>
      <c r="F36" s="20" t="s">
        <v>128</v>
      </c>
      <c r="G36" s="21">
        <v>32100</v>
      </c>
      <c r="H36" s="20">
        <v>24</v>
      </c>
      <c r="I36" s="21">
        <f t="shared" si="0"/>
        <v>1337.5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x14ac:dyDescent="0.25">
      <c r="A37" s="6"/>
      <c r="B37" s="19" t="s">
        <v>138</v>
      </c>
      <c r="C37" s="20" t="s">
        <v>106</v>
      </c>
      <c r="D37" s="20" t="s">
        <v>106</v>
      </c>
      <c r="E37" s="20">
        <v>1</v>
      </c>
      <c r="F37" s="20" t="s">
        <v>128</v>
      </c>
      <c r="G37" s="21">
        <v>21400</v>
      </c>
      <c r="H37" s="20">
        <v>3</v>
      </c>
      <c r="I37" s="21">
        <f t="shared" si="0"/>
        <v>7133.333333333333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x14ac:dyDescent="0.25">
      <c r="A38" s="6"/>
      <c r="B38" s="19" t="s">
        <v>138</v>
      </c>
      <c r="C38" s="20" t="s">
        <v>106</v>
      </c>
      <c r="D38" s="20" t="s">
        <v>106</v>
      </c>
      <c r="E38" s="20">
        <v>1</v>
      </c>
      <c r="F38" s="20" t="s">
        <v>128</v>
      </c>
      <c r="G38" s="21">
        <v>10700</v>
      </c>
      <c r="H38" s="20">
        <v>3</v>
      </c>
      <c r="I38" s="21">
        <f t="shared" si="0"/>
        <v>3566.6666666666665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x14ac:dyDescent="0.25">
      <c r="A39" s="6"/>
      <c r="B39" s="19" t="s">
        <v>139</v>
      </c>
      <c r="C39" s="20" t="s">
        <v>140</v>
      </c>
      <c r="D39" s="20" t="s">
        <v>106</v>
      </c>
      <c r="E39" s="20">
        <v>1</v>
      </c>
      <c r="F39" s="20" t="s">
        <v>128</v>
      </c>
      <c r="G39" s="21">
        <v>41730</v>
      </c>
      <c r="H39" s="20">
        <v>24</v>
      </c>
      <c r="I39" s="21">
        <f t="shared" si="0"/>
        <v>1738.75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x14ac:dyDescent="0.25">
      <c r="A40" s="6"/>
      <c r="B40" s="19" t="s">
        <v>141</v>
      </c>
      <c r="C40" s="20" t="s">
        <v>142</v>
      </c>
      <c r="D40" s="20" t="s">
        <v>106</v>
      </c>
      <c r="E40" s="20">
        <v>1</v>
      </c>
      <c r="F40" s="20" t="s">
        <v>128</v>
      </c>
      <c r="G40" s="21">
        <v>85493</v>
      </c>
      <c r="H40" s="20">
        <v>24</v>
      </c>
      <c r="I40" s="21">
        <f t="shared" si="0"/>
        <v>3562.2083333333335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x14ac:dyDescent="0.25">
      <c r="A41" s="6"/>
      <c r="B41" s="19" t="s">
        <v>143</v>
      </c>
      <c r="C41" s="20" t="s">
        <v>106</v>
      </c>
      <c r="D41" s="20" t="s">
        <v>106</v>
      </c>
      <c r="E41" s="20">
        <v>1</v>
      </c>
      <c r="F41" s="20" t="s">
        <v>128</v>
      </c>
      <c r="G41" s="21">
        <v>260000</v>
      </c>
      <c r="H41" s="20">
        <v>12</v>
      </c>
      <c r="I41" s="21">
        <f t="shared" si="0"/>
        <v>21666.666666666668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x14ac:dyDescent="0.25">
      <c r="A42" s="6"/>
      <c r="B42" s="19" t="s">
        <v>59</v>
      </c>
      <c r="C42" s="20" t="s">
        <v>106</v>
      </c>
      <c r="D42" s="20" t="s">
        <v>106</v>
      </c>
      <c r="E42" s="20">
        <v>1</v>
      </c>
      <c r="F42" s="20" t="s">
        <v>128</v>
      </c>
      <c r="G42" s="21">
        <v>2275248</v>
      </c>
      <c r="H42" s="20">
        <v>24</v>
      </c>
      <c r="I42" s="21">
        <f t="shared" si="0"/>
        <v>94802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x14ac:dyDescent="0.25">
      <c r="A43" s="6"/>
      <c r="B43" s="74" t="s">
        <v>144</v>
      </c>
      <c r="C43" s="65"/>
      <c r="D43" s="65"/>
      <c r="E43" s="65"/>
      <c r="F43" s="65"/>
      <c r="G43" s="65"/>
      <c r="H43" s="66"/>
      <c r="I43" s="22">
        <f>SUM(I23:I42)</f>
        <v>639159.20833333326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x14ac:dyDescent="0.25">
      <c r="A46" s="6"/>
      <c r="B46" s="70" t="s">
        <v>145</v>
      </c>
      <c r="C46" s="65"/>
      <c r="D46" s="65"/>
      <c r="E46" s="65"/>
      <c r="F46" s="65"/>
      <c r="G46" s="65"/>
      <c r="H46" s="65"/>
      <c r="I46" s="6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x14ac:dyDescent="0.25">
      <c r="A47" s="6"/>
      <c r="B47" s="71" t="s">
        <v>4</v>
      </c>
      <c r="C47" s="71" t="s">
        <v>121</v>
      </c>
      <c r="D47" s="71" t="s">
        <v>122</v>
      </c>
      <c r="E47" s="72" t="s">
        <v>123</v>
      </c>
      <c r="F47" s="66"/>
      <c r="G47" s="73" t="s">
        <v>124</v>
      </c>
      <c r="H47" s="71" t="s">
        <v>125</v>
      </c>
      <c r="I47" s="73" t="s">
        <v>110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x14ac:dyDescent="0.25">
      <c r="A48" s="6"/>
      <c r="B48" s="69"/>
      <c r="C48" s="69"/>
      <c r="D48" s="69"/>
      <c r="E48" s="18" t="s">
        <v>115</v>
      </c>
      <c r="F48" s="18" t="s">
        <v>126</v>
      </c>
      <c r="G48" s="69"/>
      <c r="H48" s="69"/>
      <c r="I48" s="69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x14ac:dyDescent="0.25">
      <c r="A49" s="6"/>
      <c r="B49" s="10" t="s">
        <v>67</v>
      </c>
      <c r="C49" s="20" t="s">
        <v>106</v>
      </c>
      <c r="D49" s="20" t="s">
        <v>106</v>
      </c>
      <c r="E49" s="20">
        <v>1</v>
      </c>
      <c r="F49" s="20" t="s">
        <v>146</v>
      </c>
      <c r="G49" s="21">
        <v>214000</v>
      </c>
      <c r="H49" s="19">
        <v>12</v>
      </c>
      <c r="I49" s="21">
        <f t="shared" ref="I49:I56" si="1">(G49*E49)/H49</f>
        <v>17833.333333333332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x14ac:dyDescent="0.25">
      <c r="A50" s="6"/>
      <c r="B50" s="19" t="s">
        <v>70</v>
      </c>
      <c r="C50" s="20" t="s">
        <v>106</v>
      </c>
      <c r="D50" s="20" t="s">
        <v>106</v>
      </c>
      <c r="E50" s="20">
        <v>1</v>
      </c>
      <c r="F50" s="20" t="s">
        <v>146</v>
      </c>
      <c r="G50" s="21">
        <v>0</v>
      </c>
      <c r="H50" s="19">
        <v>12</v>
      </c>
      <c r="I50" s="21">
        <f t="shared" si="1"/>
        <v>0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x14ac:dyDescent="0.25">
      <c r="A51" s="6"/>
      <c r="B51" s="19" t="s">
        <v>78</v>
      </c>
      <c r="C51" s="20" t="s">
        <v>18</v>
      </c>
      <c r="D51" s="20" t="s">
        <v>106</v>
      </c>
      <c r="E51" s="20">
        <v>1</v>
      </c>
      <c r="F51" s="20" t="s">
        <v>128</v>
      </c>
      <c r="G51" s="21">
        <v>66340</v>
      </c>
      <c r="H51" s="19">
        <v>1</v>
      </c>
      <c r="I51" s="21">
        <f t="shared" si="1"/>
        <v>66340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x14ac:dyDescent="0.25">
      <c r="A52" s="6"/>
      <c r="B52" s="19" t="s">
        <v>84</v>
      </c>
      <c r="C52" s="20" t="s">
        <v>106</v>
      </c>
      <c r="D52" s="20" t="s">
        <v>106</v>
      </c>
      <c r="E52" s="20">
        <v>1</v>
      </c>
      <c r="F52" s="20" t="s">
        <v>82</v>
      </c>
      <c r="G52" s="21">
        <v>0</v>
      </c>
      <c r="H52" s="19">
        <v>12</v>
      </c>
      <c r="I52" s="21">
        <f t="shared" si="1"/>
        <v>0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x14ac:dyDescent="0.25">
      <c r="A53" s="6"/>
      <c r="B53" s="19" t="s">
        <v>87</v>
      </c>
      <c r="C53" s="20" t="s">
        <v>106</v>
      </c>
      <c r="D53" s="20" t="s">
        <v>106</v>
      </c>
      <c r="E53" s="20">
        <v>1</v>
      </c>
      <c r="F53" s="20" t="s">
        <v>146</v>
      </c>
      <c r="G53" s="21">
        <v>0</v>
      </c>
      <c r="H53" s="19">
        <v>12</v>
      </c>
      <c r="I53" s="21">
        <f t="shared" si="1"/>
        <v>0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x14ac:dyDescent="0.25">
      <c r="A54" s="6"/>
      <c r="B54" s="19" t="s">
        <v>147</v>
      </c>
      <c r="C54" s="20" t="s">
        <v>106</v>
      </c>
      <c r="D54" s="20" t="s">
        <v>106</v>
      </c>
      <c r="E54" s="20">
        <v>1</v>
      </c>
      <c r="F54" s="20" t="s">
        <v>128</v>
      </c>
      <c r="G54" s="21">
        <v>1310750</v>
      </c>
      <c r="H54" s="19">
        <v>3</v>
      </c>
      <c r="I54" s="21">
        <f t="shared" si="1"/>
        <v>436916.66666666669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x14ac:dyDescent="0.25">
      <c r="A55" s="6"/>
      <c r="B55" s="19" t="s">
        <v>148</v>
      </c>
      <c r="C55" s="20"/>
      <c r="D55" s="20"/>
      <c r="E55" s="20">
        <v>1</v>
      </c>
      <c r="F55" s="20" t="s">
        <v>128</v>
      </c>
      <c r="G55" s="21">
        <v>1273300</v>
      </c>
      <c r="H55" s="19">
        <v>3</v>
      </c>
      <c r="I55" s="21">
        <f t="shared" si="1"/>
        <v>424433.33333333331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x14ac:dyDescent="0.25">
      <c r="A56" s="6"/>
      <c r="B56" s="19" t="s">
        <v>149</v>
      </c>
      <c r="C56" s="20"/>
      <c r="D56" s="20"/>
      <c r="E56" s="20">
        <v>1</v>
      </c>
      <c r="F56" s="20" t="s">
        <v>128</v>
      </c>
      <c r="G56" s="21">
        <v>1230500</v>
      </c>
      <c r="H56" s="19">
        <v>3</v>
      </c>
      <c r="I56" s="21">
        <f t="shared" si="1"/>
        <v>410166.66666666669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x14ac:dyDescent="0.25">
      <c r="A57" s="6"/>
      <c r="B57" s="74" t="s">
        <v>144</v>
      </c>
      <c r="C57" s="65"/>
      <c r="D57" s="65"/>
      <c r="E57" s="65"/>
      <c r="F57" s="65"/>
      <c r="G57" s="65"/>
      <c r="H57" s="66"/>
      <c r="I57" s="22">
        <f>SUM(I49:I54)</f>
        <v>521090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x14ac:dyDescent="0.25">
      <c r="A60" s="6"/>
      <c r="B60" s="70" t="s">
        <v>145</v>
      </c>
      <c r="C60" s="65"/>
      <c r="D60" s="65"/>
      <c r="E60" s="65"/>
      <c r="F60" s="65"/>
      <c r="G60" s="65"/>
      <c r="H60" s="65"/>
      <c r="I60" s="6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x14ac:dyDescent="0.25">
      <c r="A61" s="6"/>
      <c r="B61" s="71" t="s">
        <v>4</v>
      </c>
      <c r="C61" s="71" t="s">
        <v>121</v>
      </c>
      <c r="D61" s="71" t="s">
        <v>122</v>
      </c>
      <c r="E61" s="72" t="s">
        <v>123</v>
      </c>
      <c r="F61" s="66"/>
      <c r="G61" s="73" t="s">
        <v>124</v>
      </c>
      <c r="H61" s="71" t="s">
        <v>125</v>
      </c>
      <c r="I61" s="73" t="s">
        <v>110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x14ac:dyDescent="0.25">
      <c r="A62" s="6"/>
      <c r="B62" s="69"/>
      <c r="C62" s="69"/>
      <c r="D62" s="69"/>
      <c r="E62" s="18" t="s">
        <v>115</v>
      </c>
      <c r="F62" s="18" t="s">
        <v>126</v>
      </c>
      <c r="G62" s="69"/>
      <c r="H62" s="69"/>
      <c r="I62" s="69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x14ac:dyDescent="0.25">
      <c r="A63" s="6"/>
      <c r="B63" s="19" t="s">
        <v>95</v>
      </c>
      <c r="C63" s="20" t="s">
        <v>106</v>
      </c>
      <c r="D63" s="20" t="s">
        <v>106</v>
      </c>
      <c r="E63" s="20">
        <v>1</v>
      </c>
      <c r="F63" s="20" t="s">
        <v>150</v>
      </c>
      <c r="G63" s="21">
        <v>271983</v>
      </c>
      <c r="H63" s="19">
        <v>24</v>
      </c>
      <c r="I63" s="21">
        <f t="shared" ref="I63:I65" si="2">(G63*E63)/H63</f>
        <v>11332.625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x14ac:dyDescent="0.25">
      <c r="A64" s="6"/>
      <c r="B64" s="19" t="s">
        <v>99</v>
      </c>
      <c r="C64" s="20" t="s">
        <v>106</v>
      </c>
      <c r="D64" s="20" t="s">
        <v>106</v>
      </c>
      <c r="E64" s="20">
        <v>1</v>
      </c>
      <c r="F64" s="20" t="s">
        <v>128</v>
      </c>
      <c r="G64" s="21">
        <v>50000</v>
      </c>
      <c r="H64" s="19">
        <v>12</v>
      </c>
      <c r="I64" s="21">
        <f t="shared" si="2"/>
        <v>4166.666666666667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x14ac:dyDescent="0.25">
      <c r="A65" s="6"/>
      <c r="B65" s="19" t="s">
        <v>101</v>
      </c>
      <c r="C65" s="20" t="s">
        <v>106</v>
      </c>
      <c r="D65" s="20" t="s">
        <v>106</v>
      </c>
      <c r="E65" s="20">
        <v>1</v>
      </c>
      <c r="F65" s="20" t="s">
        <v>150</v>
      </c>
      <c r="G65" s="21">
        <v>137571</v>
      </c>
      <c r="H65" s="19">
        <v>1</v>
      </c>
      <c r="I65" s="21">
        <f t="shared" si="2"/>
        <v>137571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x14ac:dyDescent="0.25">
      <c r="A66" s="6"/>
      <c r="B66" s="74" t="s">
        <v>144</v>
      </c>
      <c r="C66" s="65"/>
      <c r="D66" s="65"/>
      <c r="E66" s="65"/>
      <c r="F66" s="65"/>
      <c r="G66" s="65"/>
      <c r="H66" s="66"/>
      <c r="I66" s="22">
        <f>SUM(I63:I65)</f>
        <v>153070.29166666666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x14ac:dyDescent="0.25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spans="1:26" x14ac:dyDescent="0.25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</sheetData>
  <mergeCells count="27">
    <mergeCell ref="G61:G62"/>
    <mergeCell ref="H61:H62"/>
    <mergeCell ref="E61:F61"/>
    <mergeCell ref="B66:H66"/>
    <mergeCell ref="E47:F47"/>
    <mergeCell ref="B57:H57"/>
    <mergeCell ref="B60:I60"/>
    <mergeCell ref="B61:B62"/>
    <mergeCell ref="C61:C62"/>
    <mergeCell ref="D61:D62"/>
    <mergeCell ref="I61:I62"/>
    <mergeCell ref="G47:G48"/>
    <mergeCell ref="H47:H48"/>
    <mergeCell ref="H21:H22"/>
    <mergeCell ref="B43:H43"/>
    <mergeCell ref="B46:I46"/>
    <mergeCell ref="B47:B48"/>
    <mergeCell ref="C47:C48"/>
    <mergeCell ref="D47:D48"/>
    <mergeCell ref="I47:I48"/>
    <mergeCell ref="B20:I20"/>
    <mergeCell ref="B21:B22"/>
    <mergeCell ref="C21:C22"/>
    <mergeCell ref="D21:D22"/>
    <mergeCell ref="E21:F21"/>
    <mergeCell ref="G21:G22"/>
    <mergeCell ref="I21:I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tabSelected="1" topLeftCell="A4" workbookViewId="0">
      <selection activeCell="C21" sqref="C21"/>
    </sheetView>
  </sheetViews>
  <sheetFormatPr defaultColWidth="12.6640625" defaultRowHeight="15.75" customHeight="1" x14ac:dyDescent="0.25"/>
  <cols>
    <col min="6" max="6" width="18.109375" customWidth="1"/>
    <col min="7" max="7" width="14.109375" customWidth="1"/>
    <col min="8" max="8" width="15" customWidth="1"/>
    <col min="9" max="9" width="13.77734375" customWidth="1"/>
    <col min="11" max="11" width="17.1093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23" t="s">
        <v>151</v>
      </c>
      <c r="C5" s="24" t="s">
        <v>152</v>
      </c>
      <c r="D5" s="24" t="s">
        <v>6</v>
      </c>
      <c r="E5" s="1"/>
      <c r="F5" s="75" t="s">
        <v>153</v>
      </c>
      <c r="G5" s="66"/>
      <c r="H5" s="1"/>
      <c r="I5" s="76" t="s">
        <v>154</v>
      </c>
      <c r="J5" s="66"/>
      <c r="K5" s="1"/>
      <c r="L5" s="75" t="s">
        <v>155</v>
      </c>
      <c r="M5" s="66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"/>
      <c r="B6" s="5" t="s">
        <v>156</v>
      </c>
      <c r="C6" s="25">
        <v>1</v>
      </c>
      <c r="D6" s="25" t="s">
        <v>157</v>
      </c>
      <c r="E6" s="1"/>
      <c r="F6" s="26" t="s">
        <v>109</v>
      </c>
      <c r="G6" s="26" t="s">
        <v>124</v>
      </c>
      <c r="H6" s="1"/>
      <c r="I6" s="27" t="s">
        <v>109</v>
      </c>
      <c r="J6" s="27" t="s">
        <v>124</v>
      </c>
      <c r="K6" s="1"/>
      <c r="L6" s="26" t="s">
        <v>158</v>
      </c>
      <c r="M6" s="26" t="s">
        <v>124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/>
      <c r="B7" s="5" t="s">
        <v>159</v>
      </c>
      <c r="C7" s="25">
        <v>1</v>
      </c>
      <c r="D7" s="25" t="s">
        <v>160</v>
      </c>
      <c r="E7" s="1"/>
      <c r="F7" s="4" t="s">
        <v>111</v>
      </c>
      <c r="G7" s="28">
        <f>'TOOLS AC Split'!C9</f>
        <v>639159.20833333326</v>
      </c>
      <c r="H7" s="1"/>
      <c r="I7" s="4" t="s">
        <v>112</v>
      </c>
      <c r="J7" s="28">
        <f>'TOOLS AC Split'!C10</f>
        <v>521090</v>
      </c>
      <c r="K7" s="1"/>
      <c r="L7" s="4" t="s">
        <v>161</v>
      </c>
      <c r="M7" s="28">
        <v>80000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"/>
      <c r="B8" s="5" t="s">
        <v>125</v>
      </c>
      <c r="C8" s="25">
        <v>1</v>
      </c>
      <c r="D8" s="25" t="s">
        <v>162</v>
      </c>
      <c r="E8" s="1"/>
      <c r="F8" s="4" t="s">
        <v>163</v>
      </c>
      <c r="G8" s="28">
        <f>'TOOLS AC Split'!C11</f>
        <v>153070.29166666666</v>
      </c>
      <c r="H8" s="1"/>
      <c r="I8" s="29" t="s">
        <v>110</v>
      </c>
      <c r="J8" s="30">
        <f>J7</f>
        <v>521090</v>
      </c>
      <c r="K8" s="1"/>
      <c r="L8" s="4" t="s">
        <v>164</v>
      </c>
      <c r="M8" s="28">
        <v>50000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"/>
      <c r="B9" s="5" t="s">
        <v>165</v>
      </c>
      <c r="C9" s="25">
        <v>200</v>
      </c>
      <c r="D9" s="25" t="s">
        <v>166</v>
      </c>
      <c r="E9" s="1"/>
      <c r="F9" s="29" t="s">
        <v>110</v>
      </c>
      <c r="G9" s="30">
        <f>SUM(G7:G8)</f>
        <v>792229.49999999988</v>
      </c>
      <c r="H9" s="1"/>
      <c r="I9" s="1"/>
      <c r="J9" s="1"/>
      <c r="K9" s="1"/>
      <c r="L9" s="29" t="s">
        <v>110</v>
      </c>
      <c r="M9" s="30">
        <f>SUM(M7:M8)</f>
        <v>130000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"/>
      <c r="B10" s="5" t="s">
        <v>167</v>
      </c>
      <c r="C10" s="31">
        <v>80000</v>
      </c>
      <c r="D10" s="4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"/>
      <c r="B11" s="5" t="s">
        <v>168</v>
      </c>
      <c r="C11" s="31">
        <v>50000</v>
      </c>
      <c r="D11" s="25" t="s">
        <v>169</v>
      </c>
      <c r="E11" s="1"/>
      <c r="F11" s="75" t="s">
        <v>170</v>
      </c>
      <c r="G11" s="66"/>
      <c r="L11" s="32"/>
      <c r="M11" s="32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5" t="s">
        <v>171</v>
      </c>
      <c r="C12" s="33">
        <v>0.3</v>
      </c>
      <c r="D12" s="4"/>
      <c r="E12" s="1"/>
      <c r="F12" s="34" t="s">
        <v>158</v>
      </c>
      <c r="G12" s="34" t="s">
        <v>124</v>
      </c>
      <c r="L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5" t="s">
        <v>172</v>
      </c>
      <c r="C13" s="25">
        <v>20</v>
      </c>
      <c r="D13" s="4"/>
      <c r="E13" s="1"/>
      <c r="F13" s="4" t="s">
        <v>173</v>
      </c>
      <c r="G13" s="35">
        <f>G9</f>
        <v>792229.49999999988</v>
      </c>
      <c r="L13" s="1"/>
      <c r="M13" s="3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/>
      <c r="B14" s="77"/>
      <c r="C14" s="65"/>
      <c r="D14" s="66"/>
      <c r="E14" s="1"/>
      <c r="F14" s="4" t="s">
        <v>112</v>
      </c>
      <c r="G14" s="35">
        <f>J8</f>
        <v>521090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37" t="s">
        <v>174</v>
      </c>
      <c r="C15" s="78" t="s">
        <v>124</v>
      </c>
      <c r="D15" s="66"/>
      <c r="E15" s="1"/>
      <c r="F15" s="4" t="s">
        <v>175</v>
      </c>
      <c r="G15" s="35">
        <f>M9</f>
        <v>130000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5" t="s">
        <v>176</v>
      </c>
      <c r="C16" s="79">
        <f>G16</f>
        <v>1443319.5</v>
      </c>
      <c r="D16" s="66"/>
      <c r="E16" s="1"/>
      <c r="F16" s="29" t="s">
        <v>177</v>
      </c>
      <c r="G16" s="38">
        <f>SUM(G13:G15)</f>
        <v>1443319.5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5" t="s">
        <v>178</v>
      </c>
      <c r="C17" s="79">
        <f>K19-H19</f>
        <v>432995.85000000009</v>
      </c>
      <c r="D17" s="66"/>
      <c r="E17" s="1"/>
      <c r="H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39"/>
      <c r="C18" s="80"/>
      <c r="D18" s="81"/>
      <c r="E18" s="1"/>
      <c r="F18" s="40" t="s">
        <v>179</v>
      </c>
      <c r="G18" s="40" t="s">
        <v>126</v>
      </c>
      <c r="H18" s="40" t="s">
        <v>124</v>
      </c>
      <c r="I18" s="40" t="s">
        <v>180</v>
      </c>
      <c r="J18" s="40" t="s">
        <v>181</v>
      </c>
      <c r="K18" s="40" t="s">
        <v>182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39"/>
      <c r="C19" s="80"/>
      <c r="D19" s="81"/>
      <c r="E19" s="1"/>
      <c r="F19" s="3">
        <v>1</v>
      </c>
      <c r="G19" s="41" t="s">
        <v>157</v>
      </c>
      <c r="H19" s="42">
        <f>G16</f>
        <v>1443319.5</v>
      </c>
      <c r="I19" s="4">
        <v>0.3</v>
      </c>
      <c r="J19" s="43">
        <v>1</v>
      </c>
      <c r="K19" s="42">
        <f t="shared" ref="K19:K21" si="0">H19*(J19+I19)</f>
        <v>1876315.35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/>
      <c r="B20" s="39"/>
      <c r="C20" s="82"/>
      <c r="D20" s="81"/>
      <c r="E20" s="1"/>
      <c r="F20" s="3">
        <v>5</v>
      </c>
      <c r="G20" s="41" t="s">
        <v>157</v>
      </c>
      <c r="H20" s="42">
        <f>G16/F20</f>
        <v>288663.90000000002</v>
      </c>
      <c r="I20" s="4">
        <v>0.3</v>
      </c>
      <c r="J20" s="43">
        <v>1</v>
      </c>
      <c r="K20" s="42">
        <f t="shared" si="0"/>
        <v>375263.07000000007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"/>
      <c r="B21" s="1"/>
      <c r="C21" s="1"/>
      <c r="D21" s="1"/>
      <c r="E21" s="1"/>
      <c r="F21" s="3">
        <v>10</v>
      </c>
      <c r="G21" s="3" t="s">
        <v>157</v>
      </c>
      <c r="H21" s="42">
        <f>G16/F21</f>
        <v>144331.95000000001</v>
      </c>
      <c r="I21" s="4">
        <v>0.3</v>
      </c>
      <c r="J21" s="44">
        <v>1</v>
      </c>
      <c r="K21" s="42">
        <f t="shared" si="0"/>
        <v>187631.53500000003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53.4" customHeight="1" x14ac:dyDescent="0.25">
      <c r="A22" s="1"/>
      <c r="B22" s="83"/>
      <c r="C22" s="81"/>
      <c r="D22" s="81"/>
      <c r="E22" s="1"/>
      <c r="H22" s="1"/>
      <c r="I22" s="1"/>
      <c r="J22" s="45" t="s">
        <v>184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"/>
      <c r="B23" s="1"/>
      <c r="C23" s="1"/>
      <c r="D23" s="1"/>
      <c r="E23" s="1"/>
      <c r="F23" s="1"/>
      <c r="G23" s="46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"/>
      <c r="B24" s="1"/>
      <c r="C24" s="1"/>
      <c r="D24" s="1"/>
      <c r="E24" s="1"/>
      <c r="F24" s="75" t="s">
        <v>185</v>
      </c>
      <c r="G24" s="6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"/>
      <c r="B25" s="1"/>
      <c r="C25" s="1"/>
      <c r="D25" s="1"/>
      <c r="E25" s="1"/>
      <c r="F25" s="4" t="s">
        <v>177</v>
      </c>
      <c r="G25" s="35">
        <f>G16</f>
        <v>1443319.5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"/>
      <c r="B26" s="1"/>
      <c r="C26" s="1"/>
      <c r="D26" s="1"/>
      <c r="E26" s="1"/>
      <c r="F26" s="4" t="s">
        <v>181</v>
      </c>
      <c r="G26" s="43">
        <v>1.3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"/>
      <c r="B27" s="1"/>
      <c r="C27" s="1"/>
      <c r="D27" s="1"/>
      <c r="E27" s="1"/>
      <c r="F27" s="29" t="s">
        <v>186</v>
      </c>
      <c r="G27" s="38">
        <f>G25*G26</f>
        <v>1876315.35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F24:G24"/>
    <mergeCell ref="C17:D17"/>
    <mergeCell ref="C16:D16"/>
    <mergeCell ref="C18:D18"/>
    <mergeCell ref="C19:D19"/>
    <mergeCell ref="C20:D20"/>
    <mergeCell ref="B22:D22"/>
    <mergeCell ref="F5:G5"/>
    <mergeCell ref="I5:J5"/>
    <mergeCell ref="L5:M5"/>
    <mergeCell ref="B14:D14"/>
    <mergeCell ref="C15:D15"/>
    <mergeCell ref="F11:G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3"/>
  <sheetViews>
    <sheetView workbookViewId="0"/>
  </sheetViews>
  <sheetFormatPr defaultColWidth="12.6640625" defaultRowHeight="15.75" customHeight="1" x14ac:dyDescent="0.25"/>
  <cols>
    <col min="2" max="2" width="39.77734375" customWidth="1"/>
    <col min="3" max="3" width="21.109375" customWidth="1"/>
  </cols>
  <sheetData>
    <row r="1" spans="1:26" x14ac:dyDescent="0.25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spans="1:26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spans="1:26" x14ac:dyDescent="0.25">
      <c r="A3" s="47"/>
      <c r="B3" s="48" t="s">
        <v>103</v>
      </c>
      <c r="C3" s="49" t="s">
        <v>104</v>
      </c>
      <c r="D3" s="47"/>
      <c r="E3" s="47"/>
      <c r="F3" s="47"/>
      <c r="G3" s="50"/>
      <c r="H3" s="47"/>
      <c r="I3" s="50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spans="1:26" x14ac:dyDescent="0.25">
      <c r="A4" s="47"/>
      <c r="B4" s="51" t="s">
        <v>105</v>
      </c>
      <c r="C4" s="52" t="s">
        <v>106</v>
      </c>
      <c r="D4" s="47"/>
      <c r="E4" s="47"/>
      <c r="F4" s="47"/>
      <c r="G4" s="50"/>
      <c r="H4" s="47"/>
      <c r="I4" s="50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spans="1:26" x14ac:dyDescent="0.25">
      <c r="A5" s="47"/>
      <c r="B5" s="51" t="s">
        <v>107</v>
      </c>
      <c r="C5" s="52" t="s">
        <v>187</v>
      </c>
      <c r="D5" s="47"/>
      <c r="E5" s="47"/>
      <c r="F5" s="47"/>
      <c r="G5" s="50"/>
      <c r="H5" s="47"/>
      <c r="I5" s="50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spans="1:26" x14ac:dyDescent="0.25">
      <c r="A6" s="47"/>
      <c r="B6" s="47"/>
      <c r="C6" s="47"/>
      <c r="D6" s="47"/>
      <c r="E6" s="47"/>
      <c r="F6" s="47"/>
      <c r="G6" s="50"/>
      <c r="H6" s="47"/>
      <c r="I6" s="50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spans="1:26" x14ac:dyDescent="0.25">
      <c r="A7" s="47"/>
      <c r="B7" s="47"/>
      <c r="C7" s="47"/>
      <c r="D7" s="47"/>
      <c r="E7" s="47"/>
      <c r="F7" s="47"/>
      <c r="G7" s="50"/>
      <c r="H7" s="47"/>
      <c r="I7" s="50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 spans="1:26" x14ac:dyDescent="0.25">
      <c r="A8" s="47"/>
      <c r="B8" s="53" t="s">
        <v>109</v>
      </c>
      <c r="C8" s="53" t="s">
        <v>110</v>
      </c>
      <c r="D8" s="47"/>
      <c r="E8" s="47"/>
      <c r="F8" s="47"/>
      <c r="G8" s="50"/>
      <c r="H8" s="47"/>
      <c r="I8" s="50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spans="1:26" x14ac:dyDescent="0.25">
      <c r="A9" s="47"/>
      <c r="B9" s="51" t="s">
        <v>111</v>
      </c>
      <c r="C9" s="54">
        <f>I45</f>
        <v>1037440.3333333334</v>
      </c>
      <c r="D9" s="47"/>
      <c r="E9" s="47"/>
      <c r="F9" s="47"/>
      <c r="G9" s="50"/>
      <c r="H9" s="47"/>
      <c r="I9" s="50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spans="1:26" x14ac:dyDescent="0.25">
      <c r="A10" s="47"/>
      <c r="B10" s="51" t="s">
        <v>112</v>
      </c>
      <c r="C10" s="54">
        <f>I58</f>
        <v>521090</v>
      </c>
      <c r="D10" s="47"/>
      <c r="E10" s="47"/>
      <c r="F10" s="47"/>
      <c r="G10" s="50"/>
      <c r="H10" s="47"/>
      <c r="I10" s="50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spans="1:26" x14ac:dyDescent="0.25">
      <c r="A11" s="47"/>
      <c r="B11" s="51" t="s">
        <v>113</v>
      </c>
      <c r="C11" s="54">
        <f>I67</f>
        <v>153070.29166666666</v>
      </c>
      <c r="D11" s="47"/>
      <c r="E11" s="47"/>
      <c r="F11" s="47"/>
      <c r="G11" s="50"/>
      <c r="H11" s="47"/>
      <c r="I11" s="50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spans="1:26" x14ac:dyDescent="0.25">
      <c r="A12" s="47"/>
      <c r="B12" s="55" t="s">
        <v>110</v>
      </c>
      <c r="C12" s="56">
        <f>SUM(C9:C11)</f>
        <v>1711600.6250000002</v>
      </c>
      <c r="D12" s="47"/>
      <c r="E12" s="47"/>
      <c r="F12" s="47"/>
      <c r="G12" s="50"/>
      <c r="H12" s="47"/>
      <c r="I12" s="50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spans="1:26" x14ac:dyDescent="0.25">
      <c r="A13" s="47"/>
      <c r="B13" s="47"/>
      <c r="C13" s="47"/>
      <c r="D13" s="47"/>
      <c r="E13" s="47"/>
      <c r="F13" s="47"/>
      <c r="G13" s="50"/>
      <c r="H13" s="47"/>
      <c r="I13" s="50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spans="1:26" x14ac:dyDescent="0.25">
      <c r="A14" s="47"/>
      <c r="B14" s="57" t="s">
        <v>114</v>
      </c>
      <c r="C14" s="58" t="s">
        <v>115</v>
      </c>
      <c r="D14" s="58" t="s">
        <v>6</v>
      </c>
      <c r="E14" s="47"/>
      <c r="F14" s="47"/>
      <c r="G14" s="50"/>
      <c r="H14" s="47"/>
      <c r="I14" s="50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spans="1:26" x14ac:dyDescent="0.25">
      <c r="A15" s="47"/>
      <c r="B15" s="51" t="s">
        <v>116</v>
      </c>
      <c r="C15" s="52">
        <v>3</v>
      </c>
      <c r="D15" s="52" t="s">
        <v>117</v>
      </c>
      <c r="E15" s="47"/>
      <c r="F15" s="47"/>
      <c r="G15" s="50"/>
      <c r="H15" s="47"/>
      <c r="I15" s="50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spans="1:26" x14ac:dyDescent="0.25">
      <c r="A16" s="47"/>
      <c r="B16" s="51" t="s">
        <v>118</v>
      </c>
      <c r="C16" s="52">
        <v>8</v>
      </c>
      <c r="D16" s="52" t="s">
        <v>119</v>
      </c>
      <c r="E16" s="47"/>
      <c r="F16" s="47"/>
      <c r="G16" s="50"/>
      <c r="H16" s="47"/>
      <c r="I16" s="50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spans="1:26" x14ac:dyDescent="0.25">
      <c r="A17" s="47"/>
      <c r="B17" s="47"/>
      <c r="C17" s="47"/>
      <c r="D17" s="47"/>
      <c r="E17" s="47"/>
      <c r="F17" s="47"/>
      <c r="G17" s="50"/>
      <c r="H17" s="47"/>
      <c r="I17" s="50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spans="1:26" x14ac:dyDescent="0.25">
      <c r="A18" s="47"/>
      <c r="B18" s="47"/>
      <c r="C18" s="47"/>
      <c r="D18" s="47"/>
      <c r="E18" s="47"/>
      <c r="F18" s="47"/>
      <c r="G18" s="50"/>
      <c r="H18" s="47"/>
      <c r="I18" s="50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spans="1:26" x14ac:dyDescent="0.25">
      <c r="A19" s="47"/>
      <c r="B19" s="47"/>
      <c r="C19" s="47"/>
      <c r="D19" s="47"/>
      <c r="E19" s="47"/>
      <c r="F19" s="47"/>
      <c r="G19" s="50"/>
      <c r="H19" s="47"/>
      <c r="I19" s="50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spans="1:26" x14ac:dyDescent="0.25">
      <c r="A20" s="47"/>
      <c r="B20" s="86" t="s">
        <v>188</v>
      </c>
      <c r="C20" s="65"/>
      <c r="D20" s="65"/>
      <c r="E20" s="65"/>
      <c r="F20" s="65"/>
      <c r="G20" s="65"/>
      <c r="H20" s="65"/>
      <c r="I20" s="66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spans="1:26" x14ac:dyDescent="0.25">
      <c r="A21" s="47"/>
      <c r="B21" s="85" t="s">
        <v>4</v>
      </c>
      <c r="C21" s="85" t="s">
        <v>121</v>
      </c>
      <c r="D21" s="85" t="s">
        <v>122</v>
      </c>
      <c r="E21" s="87" t="s">
        <v>123</v>
      </c>
      <c r="F21" s="66"/>
      <c r="G21" s="88" t="s">
        <v>124</v>
      </c>
      <c r="H21" s="85" t="s">
        <v>125</v>
      </c>
      <c r="I21" s="88" t="s">
        <v>110</v>
      </c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spans="1:26" x14ac:dyDescent="0.25">
      <c r="A22" s="47"/>
      <c r="B22" s="69"/>
      <c r="C22" s="69"/>
      <c r="D22" s="69"/>
      <c r="E22" s="59" t="s">
        <v>115</v>
      </c>
      <c r="F22" s="59" t="s">
        <v>126</v>
      </c>
      <c r="G22" s="69"/>
      <c r="H22" s="69"/>
      <c r="I22" s="69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spans="1:26" x14ac:dyDescent="0.25">
      <c r="A23" s="47"/>
      <c r="B23" s="60" t="s">
        <v>11</v>
      </c>
      <c r="C23" s="61" t="s">
        <v>106</v>
      </c>
      <c r="D23" s="61" t="s">
        <v>106</v>
      </c>
      <c r="E23" s="61">
        <v>1</v>
      </c>
      <c r="F23" s="61" t="s">
        <v>128</v>
      </c>
      <c r="G23" s="62">
        <v>1016500</v>
      </c>
      <c r="H23" s="61">
        <v>12</v>
      </c>
      <c r="I23" s="62">
        <f t="shared" ref="I23:I44" si="0">(G23*E23)/H23</f>
        <v>84708.333333333328</v>
      </c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spans="1:26" x14ac:dyDescent="0.25">
      <c r="A24" s="47"/>
      <c r="B24" s="60" t="s">
        <v>129</v>
      </c>
      <c r="C24" s="61" t="s">
        <v>189</v>
      </c>
      <c r="D24" s="61" t="s">
        <v>106</v>
      </c>
      <c r="E24" s="61">
        <v>1</v>
      </c>
      <c r="F24" s="61" t="s">
        <v>128</v>
      </c>
      <c r="G24" s="62">
        <v>417300</v>
      </c>
      <c r="H24" s="61">
        <v>24</v>
      </c>
      <c r="I24" s="62">
        <f t="shared" si="0"/>
        <v>17387.5</v>
      </c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spans="1:26" x14ac:dyDescent="0.25">
      <c r="A25" s="47"/>
      <c r="B25" s="60" t="s">
        <v>190</v>
      </c>
      <c r="C25" s="61" t="s">
        <v>106</v>
      </c>
      <c r="D25" s="61" t="s">
        <v>106</v>
      </c>
      <c r="E25" s="61">
        <v>1</v>
      </c>
      <c r="F25" s="61" t="s">
        <v>128</v>
      </c>
      <c r="G25" s="62">
        <v>66340</v>
      </c>
      <c r="H25" s="61">
        <v>1</v>
      </c>
      <c r="I25" s="62">
        <f t="shared" si="0"/>
        <v>66340</v>
      </c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spans="1:26" x14ac:dyDescent="0.25">
      <c r="A26" s="47"/>
      <c r="B26" s="60" t="s">
        <v>191</v>
      </c>
      <c r="C26" s="61" t="s">
        <v>106</v>
      </c>
      <c r="D26" s="61" t="s">
        <v>106</v>
      </c>
      <c r="E26" s="61">
        <v>1</v>
      </c>
      <c r="F26" s="61" t="s">
        <v>128</v>
      </c>
      <c r="G26" s="62">
        <v>393760</v>
      </c>
      <c r="H26" s="61">
        <v>12</v>
      </c>
      <c r="I26" s="62">
        <f t="shared" si="0"/>
        <v>32813.333333333336</v>
      </c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spans="1:26" x14ac:dyDescent="0.25">
      <c r="A27" s="47"/>
      <c r="B27" s="60" t="s">
        <v>192</v>
      </c>
      <c r="C27" s="61" t="s">
        <v>193</v>
      </c>
      <c r="D27" s="61" t="s">
        <v>106</v>
      </c>
      <c r="E27" s="61">
        <v>1</v>
      </c>
      <c r="F27" s="61" t="s">
        <v>128</v>
      </c>
      <c r="G27" s="62">
        <v>1186512</v>
      </c>
      <c r="H27" s="61">
        <v>24</v>
      </c>
      <c r="I27" s="62">
        <f t="shared" si="0"/>
        <v>49438</v>
      </c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spans="1:26" x14ac:dyDescent="0.25">
      <c r="A28" s="47"/>
      <c r="B28" s="60" t="s">
        <v>194</v>
      </c>
      <c r="C28" s="61" t="s">
        <v>195</v>
      </c>
      <c r="D28" s="61" t="s">
        <v>106</v>
      </c>
      <c r="E28" s="61">
        <v>1</v>
      </c>
      <c r="F28" s="61" t="s">
        <v>128</v>
      </c>
      <c r="G28" s="62">
        <v>2994930</v>
      </c>
      <c r="H28" s="61">
        <v>24</v>
      </c>
      <c r="I28" s="62">
        <f t="shared" si="0"/>
        <v>124788.75</v>
      </c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spans="1:26" x14ac:dyDescent="0.25">
      <c r="A29" s="47"/>
      <c r="B29" s="60" t="s">
        <v>28</v>
      </c>
      <c r="C29" s="61" t="s">
        <v>106</v>
      </c>
      <c r="D29" s="61" t="s">
        <v>106</v>
      </c>
      <c r="E29" s="61">
        <v>1</v>
      </c>
      <c r="F29" s="61" t="s">
        <v>128</v>
      </c>
      <c r="G29" s="62">
        <v>1284000</v>
      </c>
      <c r="H29" s="61">
        <v>12</v>
      </c>
      <c r="I29" s="62">
        <f t="shared" si="0"/>
        <v>107000</v>
      </c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spans="1:26" x14ac:dyDescent="0.25">
      <c r="A30" s="47"/>
      <c r="B30" s="60" t="s">
        <v>131</v>
      </c>
      <c r="C30" s="61" t="s">
        <v>106</v>
      </c>
      <c r="D30" s="61" t="s">
        <v>106</v>
      </c>
      <c r="E30" s="61">
        <v>1</v>
      </c>
      <c r="F30" s="61" t="s">
        <v>128</v>
      </c>
      <c r="G30" s="62">
        <v>214000</v>
      </c>
      <c r="H30" s="61">
        <v>12</v>
      </c>
      <c r="I30" s="62">
        <f t="shared" si="0"/>
        <v>17833.333333333332</v>
      </c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spans="1:26" x14ac:dyDescent="0.25">
      <c r="A31" s="47"/>
      <c r="B31" s="60" t="s">
        <v>131</v>
      </c>
      <c r="C31" s="61" t="s">
        <v>106</v>
      </c>
      <c r="D31" s="61" t="s">
        <v>106</v>
      </c>
      <c r="E31" s="61">
        <v>1</v>
      </c>
      <c r="F31" s="61" t="s">
        <v>128</v>
      </c>
      <c r="G31" s="62">
        <v>695500</v>
      </c>
      <c r="H31" s="61">
        <v>12</v>
      </c>
      <c r="I31" s="62">
        <f t="shared" si="0"/>
        <v>57958.333333333336</v>
      </c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spans="1:26" x14ac:dyDescent="0.25">
      <c r="A32" s="47"/>
      <c r="B32" s="60" t="s">
        <v>131</v>
      </c>
      <c r="C32" s="61" t="s">
        <v>106</v>
      </c>
      <c r="D32" s="61" t="s">
        <v>106</v>
      </c>
      <c r="E32" s="61">
        <v>1</v>
      </c>
      <c r="F32" s="61" t="s">
        <v>128</v>
      </c>
      <c r="G32" s="62">
        <v>310300</v>
      </c>
      <c r="H32" s="61">
        <v>12</v>
      </c>
      <c r="I32" s="62">
        <f t="shared" si="0"/>
        <v>25858.333333333332</v>
      </c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spans="1:26" x14ac:dyDescent="0.25">
      <c r="A33" s="47"/>
      <c r="B33" s="60" t="s">
        <v>33</v>
      </c>
      <c r="C33" s="61" t="s">
        <v>106</v>
      </c>
      <c r="D33" s="61" t="s">
        <v>106</v>
      </c>
      <c r="E33" s="61">
        <v>1</v>
      </c>
      <c r="F33" s="61" t="s">
        <v>128</v>
      </c>
      <c r="G33" s="62">
        <v>177620</v>
      </c>
      <c r="H33" s="61">
        <v>12</v>
      </c>
      <c r="I33" s="62">
        <f t="shared" si="0"/>
        <v>14801.666666666666</v>
      </c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spans="1:26" x14ac:dyDescent="0.25">
      <c r="A34" s="47"/>
      <c r="B34" s="60" t="s">
        <v>39</v>
      </c>
      <c r="C34" s="61" t="s">
        <v>106</v>
      </c>
      <c r="D34" s="61" t="s">
        <v>106</v>
      </c>
      <c r="E34" s="61">
        <v>1</v>
      </c>
      <c r="F34" s="61" t="s">
        <v>150</v>
      </c>
      <c r="G34" s="62">
        <v>201160</v>
      </c>
      <c r="H34" s="61">
        <v>24</v>
      </c>
      <c r="I34" s="62">
        <f t="shared" si="0"/>
        <v>8381.6666666666661</v>
      </c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spans="1:26" x14ac:dyDescent="0.25">
      <c r="A35" s="47"/>
      <c r="B35" s="60" t="s">
        <v>44</v>
      </c>
      <c r="C35" s="61" t="s">
        <v>106</v>
      </c>
      <c r="D35" s="61" t="s">
        <v>106</v>
      </c>
      <c r="E35" s="61">
        <v>1</v>
      </c>
      <c r="F35" s="61" t="s">
        <v>128</v>
      </c>
      <c r="G35" s="62">
        <v>3432560</v>
      </c>
      <c r="H35" s="61">
        <v>12</v>
      </c>
      <c r="I35" s="62">
        <f t="shared" si="0"/>
        <v>286046.66666666669</v>
      </c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spans="1:26" x14ac:dyDescent="0.25">
      <c r="A36" s="47"/>
      <c r="B36" s="60" t="s">
        <v>134</v>
      </c>
      <c r="C36" s="61" t="s">
        <v>106</v>
      </c>
      <c r="D36" s="61" t="s">
        <v>106</v>
      </c>
      <c r="E36" s="61">
        <v>2</v>
      </c>
      <c r="F36" s="61" t="s">
        <v>128</v>
      </c>
      <c r="G36" s="62">
        <v>16050</v>
      </c>
      <c r="H36" s="61">
        <v>2</v>
      </c>
      <c r="I36" s="62">
        <f t="shared" si="0"/>
        <v>16050</v>
      </c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spans="1:26" x14ac:dyDescent="0.25">
      <c r="A37" s="47"/>
      <c r="B37" s="60" t="s">
        <v>135</v>
      </c>
      <c r="C37" s="61" t="s">
        <v>106</v>
      </c>
      <c r="D37" s="61" t="s">
        <v>106</v>
      </c>
      <c r="E37" s="61">
        <v>1</v>
      </c>
      <c r="F37" s="61" t="s">
        <v>128</v>
      </c>
      <c r="G37" s="62">
        <v>37450</v>
      </c>
      <c r="H37" s="61">
        <v>3</v>
      </c>
      <c r="I37" s="62">
        <f t="shared" si="0"/>
        <v>12483.333333333334</v>
      </c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spans="1:26" x14ac:dyDescent="0.25">
      <c r="A38" s="47"/>
      <c r="B38" s="60" t="s">
        <v>196</v>
      </c>
      <c r="C38" s="61" t="s">
        <v>106</v>
      </c>
      <c r="D38" s="61" t="s">
        <v>106</v>
      </c>
      <c r="E38" s="61">
        <v>1</v>
      </c>
      <c r="F38" s="61" t="s">
        <v>128</v>
      </c>
      <c r="G38" s="62">
        <v>115025</v>
      </c>
      <c r="H38" s="61">
        <v>24</v>
      </c>
      <c r="I38" s="62">
        <f t="shared" si="0"/>
        <v>4792.708333333333</v>
      </c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spans="1:26" x14ac:dyDescent="0.25">
      <c r="A39" s="47"/>
      <c r="B39" s="60" t="s">
        <v>197</v>
      </c>
      <c r="C39" s="61" t="s">
        <v>140</v>
      </c>
      <c r="D39" s="61" t="s">
        <v>106</v>
      </c>
      <c r="E39" s="61">
        <v>1</v>
      </c>
      <c r="F39" s="61" t="s">
        <v>128</v>
      </c>
      <c r="G39" s="62">
        <v>62060</v>
      </c>
      <c r="H39" s="61">
        <v>24</v>
      </c>
      <c r="I39" s="62">
        <f t="shared" si="0"/>
        <v>2585.8333333333335</v>
      </c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spans="1:26" x14ac:dyDescent="0.25">
      <c r="A40" s="47"/>
      <c r="B40" s="60" t="s">
        <v>198</v>
      </c>
      <c r="C40" s="61" t="s">
        <v>199</v>
      </c>
      <c r="D40" s="61" t="s">
        <v>106</v>
      </c>
      <c r="E40" s="61">
        <v>1</v>
      </c>
      <c r="F40" s="61" t="s">
        <v>128</v>
      </c>
      <c r="G40" s="62">
        <v>83460</v>
      </c>
      <c r="H40" s="61">
        <v>24</v>
      </c>
      <c r="I40" s="62">
        <f t="shared" si="0"/>
        <v>3477.5</v>
      </c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spans="1:26" x14ac:dyDescent="0.25">
      <c r="A41" s="47"/>
      <c r="B41" s="60" t="s">
        <v>200</v>
      </c>
      <c r="C41" s="61" t="s">
        <v>201</v>
      </c>
      <c r="D41" s="61" t="s">
        <v>106</v>
      </c>
      <c r="E41" s="61">
        <v>1</v>
      </c>
      <c r="F41" s="61" t="s">
        <v>128</v>
      </c>
      <c r="G41" s="62">
        <v>110210</v>
      </c>
      <c r="H41" s="61">
        <v>24</v>
      </c>
      <c r="I41" s="62">
        <f t="shared" si="0"/>
        <v>4592.083333333333</v>
      </c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spans="1:26" x14ac:dyDescent="0.25">
      <c r="A42" s="47"/>
      <c r="B42" s="60" t="s">
        <v>139</v>
      </c>
      <c r="C42" s="61" t="s">
        <v>140</v>
      </c>
      <c r="D42" s="61" t="s">
        <v>106</v>
      </c>
      <c r="E42" s="61">
        <v>1</v>
      </c>
      <c r="F42" s="61" t="s">
        <v>128</v>
      </c>
      <c r="G42" s="62">
        <v>41730</v>
      </c>
      <c r="H42" s="61">
        <v>24</v>
      </c>
      <c r="I42" s="62">
        <f t="shared" si="0"/>
        <v>1738.75</v>
      </c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spans="1:26" x14ac:dyDescent="0.25">
      <c r="A43" s="47"/>
      <c r="B43" s="60" t="s">
        <v>141</v>
      </c>
      <c r="C43" s="61" t="s">
        <v>202</v>
      </c>
      <c r="D43" s="61" t="s">
        <v>106</v>
      </c>
      <c r="E43" s="61">
        <v>1</v>
      </c>
      <c r="F43" s="61" t="s">
        <v>128</v>
      </c>
      <c r="G43" s="62">
        <v>85493</v>
      </c>
      <c r="H43" s="61">
        <v>24</v>
      </c>
      <c r="I43" s="62">
        <f t="shared" si="0"/>
        <v>3562.2083333333335</v>
      </c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spans="1:26" x14ac:dyDescent="0.25">
      <c r="A44" s="47"/>
      <c r="B44" s="60" t="s">
        <v>59</v>
      </c>
      <c r="C44" s="61" t="s">
        <v>106</v>
      </c>
      <c r="D44" s="61" t="s">
        <v>106</v>
      </c>
      <c r="E44" s="61">
        <v>1</v>
      </c>
      <c r="F44" s="61" t="s">
        <v>128</v>
      </c>
      <c r="G44" s="62">
        <v>2275248</v>
      </c>
      <c r="H44" s="61">
        <v>24</v>
      </c>
      <c r="I44" s="62">
        <f t="shared" si="0"/>
        <v>94802</v>
      </c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spans="1:26" x14ac:dyDescent="0.25">
      <c r="A45" s="47"/>
      <c r="B45" s="84" t="s">
        <v>144</v>
      </c>
      <c r="C45" s="65"/>
      <c r="D45" s="65"/>
      <c r="E45" s="65"/>
      <c r="F45" s="65"/>
      <c r="G45" s="65"/>
      <c r="H45" s="66"/>
      <c r="I45" s="63">
        <f>SUM(I23:I44)</f>
        <v>1037440.3333333334</v>
      </c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spans="1:26" x14ac:dyDescent="0.25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spans="1:26" x14ac:dyDescent="0.25">
      <c r="A47" s="47"/>
      <c r="B47" s="70" t="s">
        <v>145</v>
      </c>
      <c r="C47" s="65"/>
      <c r="D47" s="65"/>
      <c r="E47" s="65"/>
      <c r="F47" s="65"/>
      <c r="G47" s="65"/>
      <c r="H47" s="65"/>
      <c r="I47" s="66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 spans="1:26" x14ac:dyDescent="0.25">
      <c r="A48" s="47"/>
      <c r="B48" s="71" t="s">
        <v>4</v>
      </c>
      <c r="C48" s="71" t="s">
        <v>121</v>
      </c>
      <c r="D48" s="71" t="s">
        <v>122</v>
      </c>
      <c r="E48" s="72" t="s">
        <v>123</v>
      </c>
      <c r="F48" s="66"/>
      <c r="G48" s="73" t="s">
        <v>124</v>
      </c>
      <c r="H48" s="71" t="s">
        <v>125</v>
      </c>
      <c r="I48" s="73" t="s">
        <v>110</v>
      </c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spans="1:26" x14ac:dyDescent="0.25">
      <c r="A49" s="47"/>
      <c r="B49" s="69"/>
      <c r="C49" s="69"/>
      <c r="D49" s="69"/>
      <c r="E49" s="18" t="s">
        <v>115</v>
      </c>
      <c r="F49" s="18" t="s">
        <v>126</v>
      </c>
      <c r="G49" s="69"/>
      <c r="H49" s="69"/>
      <c r="I49" s="69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 spans="1:26" x14ac:dyDescent="0.25">
      <c r="A50" s="47"/>
      <c r="B50" s="10" t="s">
        <v>67</v>
      </c>
      <c r="C50" s="20" t="s">
        <v>106</v>
      </c>
      <c r="D50" s="20" t="s">
        <v>106</v>
      </c>
      <c r="E50" s="20">
        <v>1</v>
      </c>
      <c r="F50" s="20" t="s">
        <v>146</v>
      </c>
      <c r="G50" s="21">
        <v>214000</v>
      </c>
      <c r="H50" s="19">
        <v>12</v>
      </c>
      <c r="I50" s="21">
        <f t="shared" ref="I50:I57" si="1">(G50*E50)/H50</f>
        <v>17833.333333333332</v>
      </c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 spans="1:26" x14ac:dyDescent="0.25">
      <c r="A51" s="47"/>
      <c r="B51" s="19" t="s">
        <v>70</v>
      </c>
      <c r="C51" s="20" t="s">
        <v>106</v>
      </c>
      <c r="D51" s="20" t="s">
        <v>106</v>
      </c>
      <c r="E51" s="20">
        <v>1</v>
      </c>
      <c r="F51" s="20" t="s">
        <v>146</v>
      </c>
      <c r="G51" s="21">
        <v>0</v>
      </c>
      <c r="H51" s="19">
        <v>12</v>
      </c>
      <c r="I51" s="21">
        <f t="shared" si="1"/>
        <v>0</v>
      </c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 spans="1:26" x14ac:dyDescent="0.25">
      <c r="A52" s="47"/>
      <c r="B52" s="19" t="s">
        <v>78</v>
      </c>
      <c r="C52" s="20" t="s">
        <v>18</v>
      </c>
      <c r="D52" s="20" t="s">
        <v>106</v>
      </c>
      <c r="E52" s="20">
        <v>1</v>
      </c>
      <c r="F52" s="20" t="s">
        <v>128</v>
      </c>
      <c r="G52" s="21">
        <v>66340</v>
      </c>
      <c r="H52" s="19">
        <v>1</v>
      </c>
      <c r="I52" s="21">
        <f t="shared" si="1"/>
        <v>66340</v>
      </c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spans="1:26" x14ac:dyDescent="0.25">
      <c r="A53" s="47"/>
      <c r="B53" s="19" t="s">
        <v>84</v>
      </c>
      <c r="C53" s="20" t="s">
        <v>106</v>
      </c>
      <c r="D53" s="20" t="s">
        <v>106</v>
      </c>
      <c r="E53" s="20">
        <v>1</v>
      </c>
      <c r="F53" s="20" t="s">
        <v>82</v>
      </c>
      <c r="G53" s="21">
        <v>0</v>
      </c>
      <c r="H53" s="19">
        <v>12</v>
      </c>
      <c r="I53" s="21">
        <f t="shared" si="1"/>
        <v>0</v>
      </c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 spans="1:26" x14ac:dyDescent="0.25">
      <c r="A54" s="47"/>
      <c r="B54" s="19" t="s">
        <v>87</v>
      </c>
      <c r="C54" s="20" t="s">
        <v>106</v>
      </c>
      <c r="D54" s="20" t="s">
        <v>106</v>
      </c>
      <c r="E54" s="20">
        <v>1</v>
      </c>
      <c r="F54" s="20" t="s">
        <v>146</v>
      </c>
      <c r="G54" s="21">
        <v>0</v>
      </c>
      <c r="H54" s="19">
        <v>12</v>
      </c>
      <c r="I54" s="21">
        <f t="shared" si="1"/>
        <v>0</v>
      </c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spans="1:26" x14ac:dyDescent="0.25">
      <c r="A55" s="47"/>
      <c r="B55" s="19" t="s">
        <v>147</v>
      </c>
      <c r="C55" s="20" t="s">
        <v>106</v>
      </c>
      <c r="D55" s="20" t="s">
        <v>106</v>
      </c>
      <c r="E55" s="20">
        <v>1</v>
      </c>
      <c r="F55" s="20" t="s">
        <v>128</v>
      </c>
      <c r="G55" s="21">
        <v>1310750</v>
      </c>
      <c r="H55" s="19">
        <v>3</v>
      </c>
      <c r="I55" s="21">
        <f t="shared" si="1"/>
        <v>436916.66666666669</v>
      </c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spans="1:26" x14ac:dyDescent="0.25">
      <c r="A56" s="47"/>
      <c r="B56" s="19" t="s">
        <v>148</v>
      </c>
      <c r="C56" s="20"/>
      <c r="D56" s="20"/>
      <c r="E56" s="20">
        <v>1</v>
      </c>
      <c r="F56" s="20" t="s">
        <v>128</v>
      </c>
      <c r="G56" s="21">
        <v>1273300</v>
      </c>
      <c r="H56" s="19">
        <v>3</v>
      </c>
      <c r="I56" s="21">
        <f t="shared" si="1"/>
        <v>424433.33333333331</v>
      </c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spans="1:26" x14ac:dyDescent="0.25">
      <c r="A57" s="47"/>
      <c r="B57" s="19" t="s">
        <v>149</v>
      </c>
      <c r="C57" s="20"/>
      <c r="D57" s="20"/>
      <c r="E57" s="20">
        <v>1</v>
      </c>
      <c r="F57" s="20" t="s">
        <v>128</v>
      </c>
      <c r="G57" s="21">
        <v>1230500</v>
      </c>
      <c r="H57" s="19">
        <v>3</v>
      </c>
      <c r="I57" s="21">
        <f t="shared" si="1"/>
        <v>410166.66666666669</v>
      </c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spans="1:26" x14ac:dyDescent="0.25">
      <c r="A58" s="47"/>
      <c r="B58" s="74" t="s">
        <v>144</v>
      </c>
      <c r="C58" s="65"/>
      <c r="D58" s="65"/>
      <c r="E58" s="65"/>
      <c r="F58" s="65"/>
      <c r="G58" s="65"/>
      <c r="H58" s="66"/>
      <c r="I58" s="22">
        <f>SUM(I50:I55)</f>
        <v>521090</v>
      </c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spans="1:26" x14ac:dyDescent="0.25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spans="1:26" x14ac:dyDescent="0.25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spans="1:26" x14ac:dyDescent="0.25">
      <c r="A61" s="47"/>
      <c r="B61" s="86" t="s">
        <v>163</v>
      </c>
      <c r="C61" s="65"/>
      <c r="D61" s="65"/>
      <c r="E61" s="65"/>
      <c r="F61" s="65"/>
      <c r="G61" s="65"/>
      <c r="H61" s="65"/>
      <c r="I61" s="66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 spans="1:26" x14ac:dyDescent="0.25">
      <c r="A62" s="47"/>
      <c r="B62" s="85" t="s">
        <v>4</v>
      </c>
      <c r="C62" s="85" t="s">
        <v>121</v>
      </c>
      <c r="D62" s="85" t="s">
        <v>122</v>
      </c>
      <c r="E62" s="87" t="s">
        <v>123</v>
      </c>
      <c r="F62" s="66"/>
      <c r="G62" s="88" t="s">
        <v>124</v>
      </c>
      <c r="H62" s="85" t="s">
        <v>125</v>
      </c>
      <c r="I62" s="88" t="s">
        <v>110</v>
      </c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spans="1:26" x14ac:dyDescent="0.25">
      <c r="A63" s="47"/>
      <c r="B63" s="69"/>
      <c r="C63" s="69"/>
      <c r="D63" s="69"/>
      <c r="E63" s="59" t="s">
        <v>115</v>
      </c>
      <c r="F63" s="59" t="s">
        <v>126</v>
      </c>
      <c r="G63" s="69"/>
      <c r="H63" s="69"/>
      <c r="I63" s="69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spans="1:26" x14ac:dyDescent="0.25">
      <c r="A64" s="47"/>
      <c r="B64" s="60" t="s">
        <v>95</v>
      </c>
      <c r="C64" s="61" t="s">
        <v>106</v>
      </c>
      <c r="D64" s="61" t="s">
        <v>106</v>
      </c>
      <c r="E64" s="61">
        <v>1</v>
      </c>
      <c r="F64" s="61" t="s">
        <v>150</v>
      </c>
      <c r="G64" s="62">
        <v>271983</v>
      </c>
      <c r="H64" s="60">
        <v>24</v>
      </c>
      <c r="I64" s="62">
        <f t="shared" ref="I64:I66" si="2">(G64*E64)/H64</f>
        <v>11332.625</v>
      </c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spans="1:26" x14ac:dyDescent="0.25">
      <c r="A65" s="47"/>
      <c r="B65" s="60" t="s">
        <v>99</v>
      </c>
      <c r="C65" s="61" t="s">
        <v>106</v>
      </c>
      <c r="D65" s="61" t="s">
        <v>106</v>
      </c>
      <c r="E65" s="61">
        <v>1</v>
      </c>
      <c r="F65" s="61" t="s">
        <v>128</v>
      </c>
      <c r="G65" s="62">
        <v>50000</v>
      </c>
      <c r="H65" s="60">
        <v>12</v>
      </c>
      <c r="I65" s="62">
        <f t="shared" si="2"/>
        <v>4166.666666666667</v>
      </c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spans="1:26" x14ac:dyDescent="0.25">
      <c r="A66" s="47"/>
      <c r="B66" s="60" t="s">
        <v>101</v>
      </c>
      <c r="C66" s="61" t="s">
        <v>106</v>
      </c>
      <c r="D66" s="61" t="s">
        <v>106</v>
      </c>
      <c r="E66" s="61">
        <v>1</v>
      </c>
      <c r="F66" s="61" t="s">
        <v>150</v>
      </c>
      <c r="G66" s="62">
        <v>137571</v>
      </c>
      <c r="H66" s="60">
        <v>1</v>
      </c>
      <c r="I66" s="62">
        <f t="shared" si="2"/>
        <v>137571</v>
      </c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spans="1:26" x14ac:dyDescent="0.25">
      <c r="A67" s="47"/>
      <c r="B67" s="84" t="s">
        <v>144</v>
      </c>
      <c r="C67" s="65"/>
      <c r="D67" s="65"/>
      <c r="E67" s="65"/>
      <c r="F67" s="65"/>
      <c r="G67" s="65"/>
      <c r="H67" s="66"/>
      <c r="I67" s="63">
        <f>SUM(I64:I66)</f>
        <v>153070.29166666666</v>
      </c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 spans="1:26" x14ac:dyDescent="0.25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 spans="1:26" x14ac:dyDescent="0.25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 spans="1:26" x14ac:dyDescent="0.25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 spans="1:26" x14ac:dyDescent="0.25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spans="1:26" x14ac:dyDescent="0.25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spans="1:26" x14ac:dyDescent="0.25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 spans="1:26" x14ac:dyDescent="0.25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spans="1:26" x14ac:dyDescent="0.25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 spans="1:26" x14ac:dyDescent="0.25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spans="1:26" x14ac:dyDescent="0.25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spans="1:26" x14ac:dyDescent="0.25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spans="1:26" x14ac:dyDescent="0.25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spans="1:26" x14ac:dyDescent="0.25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spans="1:26" x14ac:dyDescent="0.25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spans="1:26" x14ac:dyDescent="0.25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spans="1:26" x14ac:dyDescent="0.25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spans="1:26" x14ac:dyDescent="0.25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spans="1:26" x14ac:dyDescent="0.25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spans="1:26" x14ac:dyDescent="0.25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spans="1:26" x14ac:dyDescent="0.25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spans="1:26" x14ac:dyDescent="0.25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spans="1:26" x14ac:dyDescent="0.25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spans="1:26" x14ac:dyDescent="0.25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spans="1:26" x14ac:dyDescent="0.25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spans="1:26" x14ac:dyDescent="0.25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 spans="1:26" x14ac:dyDescent="0.25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spans="1:26" x14ac:dyDescent="0.25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 spans="1:26" x14ac:dyDescent="0.25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 spans="1:26" x14ac:dyDescent="0.25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 spans="1:26" x14ac:dyDescent="0.25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 spans="1:26" x14ac:dyDescent="0.25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spans="1:26" x14ac:dyDescent="0.25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 spans="1:26" x14ac:dyDescent="0.25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 spans="1:26" x14ac:dyDescent="0.25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 spans="1:26" x14ac:dyDescent="0.25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 spans="1:26" x14ac:dyDescent="0.25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 spans="1:26" x14ac:dyDescent="0.25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 spans="1:26" x14ac:dyDescent="0.25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 spans="1:26" x14ac:dyDescent="0.25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 spans="1:26" x14ac:dyDescent="0.25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 spans="1:26" x14ac:dyDescent="0.25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 spans="1:26" x14ac:dyDescent="0.25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 spans="1:26" x14ac:dyDescent="0.25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 spans="1:26" x14ac:dyDescent="0.25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 spans="1:26" x14ac:dyDescent="0.25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 spans="1:26" x14ac:dyDescent="0.25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 spans="1:26" x14ac:dyDescent="0.25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 spans="1:26" x14ac:dyDescent="0.2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 spans="1:26" x14ac:dyDescent="0.25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spans="1:26" x14ac:dyDescent="0.25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 spans="1:26" x14ac:dyDescent="0.25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 spans="1:26" x14ac:dyDescent="0.25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 spans="1:26" x14ac:dyDescent="0.25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 spans="1:26" x14ac:dyDescent="0.25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 spans="1:26" x14ac:dyDescent="0.25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 spans="1:26" x14ac:dyDescent="0.25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spans="1:26" x14ac:dyDescent="0.25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 spans="1:26" x14ac:dyDescent="0.2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spans="1:26" x14ac:dyDescent="0.25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 spans="1:26" x14ac:dyDescent="0.25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 spans="1:26" x14ac:dyDescent="0.25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 spans="1:26" x14ac:dyDescent="0.25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 spans="1:26" x14ac:dyDescent="0.25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 spans="1:26" x14ac:dyDescent="0.25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 spans="1:26" x14ac:dyDescent="0.25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 spans="1:26" x14ac:dyDescent="0.25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spans="1:26" x14ac:dyDescent="0.25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 spans="1:26" x14ac:dyDescent="0.2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 spans="1:26" x14ac:dyDescent="0.25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 spans="1:26" x14ac:dyDescent="0.25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spans="1:26" x14ac:dyDescent="0.25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 spans="1:26" x14ac:dyDescent="0.25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 spans="1:26" x14ac:dyDescent="0.25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 spans="1:26" x14ac:dyDescent="0.25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spans="1:26" x14ac:dyDescent="0.25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spans="1:26" x14ac:dyDescent="0.25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 spans="1:26" x14ac:dyDescent="0.25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 spans="1:26" x14ac:dyDescent="0.25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 spans="1:26" x14ac:dyDescent="0.25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 spans="1:26" x14ac:dyDescent="0.25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 spans="1:26" x14ac:dyDescent="0.25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 spans="1:26" x14ac:dyDescent="0.25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spans="1:26" x14ac:dyDescent="0.25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 spans="1:26" x14ac:dyDescent="0.25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 spans="1:26" x14ac:dyDescent="0.25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 spans="1:26" x14ac:dyDescent="0.25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 spans="1:26" x14ac:dyDescent="0.25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 spans="1:26" x14ac:dyDescent="0.25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 spans="1:26" x14ac:dyDescent="0.25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 spans="1:26" x14ac:dyDescent="0.25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 spans="1:26" x14ac:dyDescent="0.25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 spans="1:26" x14ac:dyDescent="0.25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 spans="1:26" x14ac:dyDescent="0.25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 spans="1:26" x14ac:dyDescent="0.25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 spans="1:26" x14ac:dyDescent="0.25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 spans="1:26" x14ac:dyDescent="0.25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 spans="1:26" x14ac:dyDescent="0.25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spans="1:26" x14ac:dyDescent="0.25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 spans="1:26" x14ac:dyDescent="0.25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 spans="1:26" x14ac:dyDescent="0.25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 spans="1:26" x14ac:dyDescent="0.25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spans="1:26" x14ac:dyDescent="0.25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 spans="1:26" x14ac:dyDescent="0.25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 spans="1:26" x14ac:dyDescent="0.25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 spans="1:26" x14ac:dyDescent="0.25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 spans="1:26" x14ac:dyDescent="0.25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 spans="1:26" x14ac:dyDescent="0.25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 spans="1:26" x14ac:dyDescent="0.25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 spans="1:26" x14ac:dyDescent="0.25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spans="1:26" x14ac:dyDescent="0.25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spans="1:26" x14ac:dyDescent="0.25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spans="1:26" x14ac:dyDescent="0.25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 spans="1:26" x14ac:dyDescent="0.25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spans="1:26" x14ac:dyDescent="0.25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spans="1:26" x14ac:dyDescent="0.25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 spans="1:26" x14ac:dyDescent="0.25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 spans="1:26" x14ac:dyDescent="0.25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 spans="1:26" x14ac:dyDescent="0.25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 spans="1:26" x14ac:dyDescent="0.25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 spans="1:26" x14ac:dyDescent="0.25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 spans="1:26" x14ac:dyDescent="0.25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 spans="1:26" x14ac:dyDescent="0.25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spans="1:26" x14ac:dyDescent="0.25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 spans="1:26" x14ac:dyDescent="0.25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spans="1:26" x14ac:dyDescent="0.25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spans="1:26" x14ac:dyDescent="0.25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spans="1:26" x14ac:dyDescent="0.25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spans="1:26" x14ac:dyDescent="0.25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spans="1:26" x14ac:dyDescent="0.25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 spans="1:26" x14ac:dyDescent="0.25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 spans="1:26" x14ac:dyDescent="0.25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 spans="1:26" x14ac:dyDescent="0.25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spans="1:26" x14ac:dyDescent="0.25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spans="1:26" x14ac:dyDescent="0.25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 spans="1:26" x14ac:dyDescent="0.25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 spans="1:26" x14ac:dyDescent="0.25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 spans="1:26" x14ac:dyDescent="0.25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 spans="1:26" x14ac:dyDescent="0.2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 spans="1:26" x14ac:dyDescent="0.25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 spans="1:26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 spans="1:26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 spans="1:26" x14ac:dyDescent="0.25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spans="1:26" x14ac:dyDescent="0.25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spans="1:26" x14ac:dyDescent="0.25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spans="1:26" x14ac:dyDescent="0.25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spans="1:26" x14ac:dyDescent="0.25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spans="1:26" x14ac:dyDescent="0.25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spans="1:26" x14ac:dyDescent="0.2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spans="1:26" x14ac:dyDescent="0.25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spans="1:26" x14ac:dyDescent="0.25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spans="1:26" x14ac:dyDescent="0.25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spans="1:26" x14ac:dyDescent="0.25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spans="1:26" x14ac:dyDescent="0.25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spans="1:26" x14ac:dyDescent="0.25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spans="1:26" x14ac:dyDescent="0.25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spans="1:26" x14ac:dyDescent="0.25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 spans="1:26" x14ac:dyDescent="0.25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 spans="1:26" x14ac:dyDescent="0.25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 spans="1:26" x14ac:dyDescent="0.25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 spans="1:26" x14ac:dyDescent="0.25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 spans="1:26" x14ac:dyDescent="0.25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spans="1:26" x14ac:dyDescent="0.25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 spans="1:26" x14ac:dyDescent="0.25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 spans="1:26" x14ac:dyDescent="0.25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 spans="1:26" x14ac:dyDescent="0.25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 spans="1:26" x14ac:dyDescent="0.25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spans="1:26" x14ac:dyDescent="0.25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spans="1:26" x14ac:dyDescent="0.25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spans="1:26" x14ac:dyDescent="0.25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spans="1:26" x14ac:dyDescent="0.25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spans="1:26" x14ac:dyDescent="0.25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spans="1:26" x14ac:dyDescent="0.25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spans="1:26" x14ac:dyDescent="0.25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spans="1:26" x14ac:dyDescent="0.25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spans="1:26" x14ac:dyDescent="0.25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spans="1:26" x14ac:dyDescent="0.25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spans="1:26" x14ac:dyDescent="0.25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spans="1:26" x14ac:dyDescent="0.2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spans="1:26" x14ac:dyDescent="0.25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spans="1:26" x14ac:dyDescent="0.25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spans="1:26" x14ac:dyDescent="0.25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spans="1:26" x14ac:dyDescent="0.25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spans="1:26" x14ac:dyDescent="0.25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spans="1:26" x14ac:dyDescent="0.25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spans="1:26" x14ac:dyDescent="0.25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spans="1:26" x14ac:dyDescent="0.25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spans="1:26" x14ac:dyDescent="0.25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spans="1:26" x14ac:dyDescent="0.2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spans="1:26" x14ac:dyDescent="0.25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spans="1:26" x14ac:dyDescent="0.25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spans="1:26" x14ac:dyDescent="0.25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spans="1:26" x14ac:dyDescent="0.25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spans="1:26" x14ac:dyDescent="0.25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spans="1:26" x14ac:dyDescent="0.25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spans="1:26" x14ac:dyDescent="0.25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spans="1:26" x14ac:dyDescent="0.25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spans="1:26" x14ac:dyDescent="0.25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spans="1:26" x14ac:dyDescent="0.25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spans="1:26" x14ac:dyDescent="0.25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spans="1:26" x14ac:dyDescent="0.25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spans="1:26" x14ac:dyDescent="0.25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spans="1:26" x14ac:dyDescent="0.25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spans="1:26" x14ac:dyDescent="0.25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spans="1:26" x14ac:dyDescent="0.25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spans="1:26" x14ac:dyDescent="0.25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spans="1:26" x14ac:dyDescent="0.25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spans="1:26" x14ac:dyDescent="0.25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spans="1:26" x14ac:dyDescent="0.25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spans="1:26" x14ac:dyDescent="0.25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spans="1:26" x14ac:dyDescent="0.25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spans="1:26" x14ac:dyDescent="0.25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spans="1:26" x14ac:dyDescent="0.25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spans="1:26" x14ac:dyDescent="0.25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spans="1:26" x14ac:dyDescent="0.25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spans="1:26" x14ac:dyDescent="0.25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spans="1:26" x14ac:dyDescent="0.25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spans="1:26" x14ac:dyDescent="0.25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spans="1:26" x14ac:dyDescent="0.25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spans="1:26" x14ac:dyDescent="0.25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spans="1:26" x14ac:dyDescent="0.25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spans="1:26" x14ac:dyDescent="0.25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spans="1:26" x14ac:dyDescent="0.25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spans="1:26" x14ac:dyDescent="0.25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spans="1:26" x14ac:dyDescent="0.25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spans="1:26" x14ac:dyDescent="0.25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spans="1:26" x14ac:dyDescent="0.25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spans="1:26" x14ac:dyDescent="0.25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spans="1:26" x14ac:dyDescent="0.2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spans="1:26" x14ac:dyDescent="0.25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spans="1:26" x14ac:dyDescent="0.25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spans="1:26" x14ac:dyDescent="0.25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spans="1:26" x14ac:dyDescent="0.25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spans="1:26" x14ac:dyDescent="0.25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spans="1:26" x14ac:dyDescent="0.25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spans="1:26" x14ac:dyDescent="0.25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spans="1:26" x14ac:dyDescent="0.25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spans="1:26" x14ac:dyDescent="0.25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spans="1:26" x14ac:dyDescent="0.2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spans="1:26" x14ac:dyDescent="0.25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spans="1:26" x14ac:dyDescent="0.25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spans="1:26" x14ac:dyDescent="0.25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spans="1:26" x14ac:dyDescent="0.25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spans="1:26" x14ac:dyDescent="0.25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spans="1:26" x14ac:dyDescent="0.25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spans="1:26" x14ac:dyDescent="0.25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spans="1:26" x14ac:dyDescent="0.25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spans="1:26" x14ac:dyDescent="0.25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spans="1:26" x14ac:dyDescent="0.2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spans="1:26" x14ac:dyDescent="0.25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spans="1:26" x14ac:dyDescent="0.25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spans="1:26" x14ac:dyDescent="0.25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spans="1:26" x14ac:dyDescent="0.25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spans="1:26" x14ac:dyDescent="0.25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spans="1:26" x14ac:dyDescent="0.25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spans="1:26" x14ac:dyDescent="0.25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spans="1:26" x14ac:dyDescent="0.25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spans="1:26" x14ac:dyDescent="0.25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spans="1:26" x14ac:dyDescent="0.2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spans="1:26" x14ac:dyDescent="0.25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spans="1:26" x14ac:dyDescent="0.25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spans="1:26" x14ac:dyDescent="0.25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spans="1:26" x14ac:dyDescent="0.25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spans="1:26" x14ac:dyDescent="0.25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spans="1:26" x14ac:dyDescent="0.25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spans="1:26" x14ac:dyDescent="0.25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spans="1:26" x14ac:dyDescent="0.25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spans="1:26" x14ac:dyDescent="0.25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spans="1:26" x14ac:dyDescent="0.2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spans="1:26" x14ac:dyDescent="0.25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spans="1:26" x14ac:dyDescent="0.25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spans="1:26" x14ac:dyDescent="0.25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spans="1:26" x14ac:dyDescent="0.25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spans="1:26" x14ac:dyDescent="0.25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spans="1:26" x14ac:dyDescent="0.25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spans="1:26" x14ac:dyDescent="0.25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spans="1:26" x14ac:dyDescent="0.25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spans="1:26" x14ac:dyDescent="0.25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spans="1:26" x14ac:dyDescent="0.2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spans="1:26" x14ac:dyDescent="0.25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spans="1:26" x14ac:dyDescent="0.25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spans="1:26" x14ac:dyDescent="0.25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spans="1:26" x14ac:dyDescent="0.25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spans="1:26" x14ac:dyDescent="0.25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spans="1:26" x14ac:dyDescent="0.25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spans="1:26" x14ac:dyDescent="0.25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spans="1:26" x14ac:dyDescent="0.25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spans="1:26" x14ac:dyDescent="0.25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spans="1:26" x14ac:dyDescent="0.2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spans="1:26" x14ac:dyDescent="0.25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spans="1:26" x14ac:dyDescent="0.25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spans="1:26" x14ac:dyDescent="0.25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spans="1:26" x14ac:dyDescent="0.25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spans="1:26" x14ac:dyDescent="0.25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spans="1:26" x14ac:dyDescent="0.25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spans="1:26" x14ac:dyDescent="0.25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spans="1:26" x14ac:dyDescent="0.25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spans="1:26" x14ac:dyDescent="0.25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spans="1:26" x14ac:dyDescent="0.2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spans="1:26" x14ac:dyDescent="0.25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spans="1:26" x14ac:dyDescent="0.25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spans="1:26" x14ac:dyDescent="0.25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spans="1:26" x14ac:dyDescent="0.25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spans="1:26" x14ac:dyDescent="0.25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spans="1:26" x14ac:dyDescent="0.25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spans="1:26" x14ac:dyDescent="0.25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spans="1:26" x14ac:dyDescent="0.25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spans="1:26" x14ac:dyDescent="0.25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spans="1:26" x14ac:dyDescent="0.2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spans="1:26" x14ac:dyDescent="0.25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spans="1:26" x14ac:dyDescent="0.25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spans="1:26" x14ac:dyDescent="0.25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spans="1:26" x14ac:dyDescent="0.25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spans="1:26" x14ac:dyDescent="0.25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spans="1:26" x14ac:dyDescent="0.25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spans="1:26" x14ac:dyDescent="0.25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spans="1:26" x14ac:dyDescent="0.25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spans="1:26" x14ac:dyDescent="0.25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spans="1:26" x14ac:dyDescent="0.2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spans="1:26" x14ac:dyDescent="0.25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spans="1:26" x14ac:dyDescent="0.25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spans="1:26" x14ac:dyDescent="0.25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spans="1:26" x14ac:dyDescent="0.25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spans="1:26" x14ac:dyDescent="0.25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spans="1:26" x14ac:dyDescent="0.25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spans="1:26" x14ac:dyDescent="0.25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spans="1:26" x14ac:dyDescent="0.25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spans="1:26" x14ac:dyDescent="0.25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spans="1:26" x14ac:dyDescent="0.2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spans="1:26" x14ac:dyDescent="0.25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spans="1:26" x14ac:dyDescent="0.25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spans="1:26" x14ac:dyDescent="0.25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spans="1:26" x14ac:dyDescent="0.25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spans="1:26" x14ac:dyDescent="0.25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spans="1:26" x14ac:dyDescent="0.25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spans="1:26" x14ac:dyDescent="0.25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spans="1:26" x14ac:dyDescent="0.25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spans="1:26" x14ac:dyDescent="0.25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spans="1:26" x14ac:dyDescent="0.2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spans="1:26" x14ac:dyDescent="0.25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spans="1:26" x14ac:dyDescent="0.25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spans="1:26" x14ac:dyDescent="0.25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spans="1:26" x14ac:dyDescent="0.25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spans="1:26" x14ac:dyDescent="0.25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spans="1:26" x14ac:dyDescent="0.25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spans="1:26" x14ac:dyDescent="0.25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spans="1:26" x14ac:dyDescent="0.25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spans="1:26" x14ac:dyDescent="0.25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spans="1:26" x14ac:dyDescent="0.2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spans="1:26" x14ac:dyDescent="0.25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spans="1:26" x14ac:dyDescent="0.25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spans="1:26" x14ac:dyDescent="0.25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spans="1:26" x14ac:dyDescent="0.25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spans="1:26" x14ac:dyDescent="0.25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spans="1:26" x14ac:dyDescent="0.25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spans="1:26" x14ac:dyDescent="0.25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spans="1:26" x14ac:dyDescent="0.25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spans="1:26" x14ac:dyDescent="0.25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spans="1:26" x14ac:dyDescent="0.2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spans="1:26" x14ac:dyDescent="0.25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spans="1:26" x14ac:dyDescent="0.25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spans="1:26" x14ac:dyDescent="0.25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spans="1:26" x14ac:dyDescent="0.25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spans="1:26" x14ac:dyDescent="0.25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spans="1:26" x14ac:dyDescent="0.25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spans="1:26" x14ac:dyDescent="0.25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spans="1:26" x14ac:dyDescent="0.25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spans="1:26" x14ac:dyDescent="0.25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spans="1:26" x14ac:dyDescent="0.2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spans="1:26" x14ac:dyDescent="0.25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spans="1:26" x14ac:dyDescent="0.25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spans="1:26" x14ac:dyDescent="0.25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spans="1:26" x14ac:dyDescent="0.25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spans="1:26" x14ac:dyDescent="0.25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spans="1:26" x14ac:dyDescent="0.25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spans="1:26" x14ac:dyDescent="0.25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spans="1:26" x14ac:dyDescent="0.25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spans="1:26" x14ac:dyDescent="0.25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spans="1:26" x14ac:dyDescent="0.2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spans="1:26" x14ac:dyDescent="0.25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spans="1:26" x14ac:dyDescent="0.25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spans="1:26" x14ac:dyDescent="0.25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spans="1:26" x14ac:dyDescent="0.25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spans="1:26" x14ac:dyDescent="0.25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spans="1:26" x14ac:dyDescent="0.25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spans="1:26" x14ac:dyDescent="0.25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spans="1:26" x14ac:dyDescent="0.25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spans="1:26" x14ac:dyDescent="0.25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spans="1:26" x14ac:dyDescent="0.2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spans="1:26" x14ac:dyDescent="0.25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spans="1:26" x14ac:dyDescent="0.25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spans="1:26" x14ac:dyDescent="0.25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spans="1:26" x14ac:dyDescent="0.25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spans="1:26" x14ac:dyDescent="0.25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spans="1:26" x14ac:dyDescent="0.25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spans="1:26" x14ac:dyDescent="0.25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spans="1:26" x14ac:dyDescent="0.25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spans="1:26" x14ac:dyDescent="0.25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spans="1:26" x14ac:dyDescent="0.2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spans="1:26" x14ac:dyDescent="0.25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spans="1:26" x14ac:dyDescent="0.25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spans="1:26" x14ac:dyDescent="0.25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spans="1:26" x14ac:dyDescent="0.25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spans="1:26" x14ac:dyDescent="0.25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spans="1:26" x14ac:dyDescent="0.25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spans="1:26" x14ac:dyDescent="0.25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spans="1:26" x14ac:dyDescent="0.25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spans="1:26" x14ac:dyDescent="0.25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spans="1:26" x14ac:dyDescent="0.2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spans="1:26" x14ac:dyDescent="0.25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spans="1:26" x14ac:dyDescent="0.25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spans="1:26" x14ac:dyDescent="0.25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spans="1:26" x14ac:dyDescent="0.25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spans="1:26" x14ac:dyDescent="0.25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spans="1:26" x14ac:dyDescent="0.25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spans="1:26" x14ac:dyDescent="0.25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spans="1:26" x14ac:dyDescent="0.25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spans="1:26" x14ac:dyDescent="0.25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spans="1:26" x14ac:dyDescent="0.2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spans="1:26" x14ac:dyDescent="0.25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spans="1:26" x14ac:dyDescent="0.25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spans="1:26" x14ac:dyDescent="0.25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spans="1:26" x14ac:dyDescent="0.25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spans="1:26" x14ac:dyDescent="0.25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spans="1:26" x14ac:dyDescent="0.25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spans="1:26" x14ac:dyDescent="0.25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spans="1:26" x14ac:dyDescent="0.25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spans="1:26" x14ac:dyDescent="0.25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spans="1:26" x14ac:dyDescent="0.2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spans="1:26" x14ac:dyDescent="0.25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spans="1:26" x14ac:dyDescent="0.25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spans="1:26" x14ac:dyDescent="0.25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spans="1:26" x14ac:dyDescent="0.25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spans="1:26" x14ac:dyDescent="0.25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spans="1:26" x14ac:dyDescent="0.25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spans="1:26" x14ac:dyDescent="0.25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spans="1:26" x14ac:dyDescent="0.25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spans="1:26" x14ac:dyDescent="0.25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spans="1:26" x14ac:dyDescent="0.2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spans="1:26" x14ac:dyDescent="0.25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spans="1:26" x14ac:dyDescent="0.25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spans="1:26" x14ac:dyDescent="0.25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spans="1:26" x14ac:dyDescent="0.25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spans="1:26" x14ac:dyDescent="0.25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spans="1:26" x14ac:dyDescent="0.25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spans="1:26" x14ac:dyDescent="0.25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spans="1:26" x14ac:dyDescent="0.25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spans="1:26" x14ac:dyDescent="0.25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spans="1:26" x14ac:dyDescent="0.2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spans="1:26" x14ac:dyDescent="0.25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spans="1:26" x14ac:dyDescent="0.25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spans="1:26" x14ac:dyDescent="0.25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spans="1:26" x14ac:dyDescent="0.25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spans="1:26" x14ac:dyDescent="0.25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spans="1:26" x14ac:dyDescent="0.25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spans="1:26" x14ac:dyDescent="0.25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spans="1:26" x14ac:dyDescent="0.25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spans="1:26" x14ac:dyDescent="0.25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spans="1:26" x14ac:dyDescent="0.2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spans="1:26" x14ac:dyDescent="0.25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spans="1:26" x14ac:dyDescent="0.25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spans="1:26" x14ac:dyDescent="0.25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spans="1:26" x14ac:dyDescent="0.25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spans="1:26" x14ac:dyDescent="0.25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spans="1:26" x14ac:dyDescent="0.25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spans="1:26" x14ac:dyDescent="0.25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spans="1:26" x14ac:dyDescent="0.25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spans="1:26" x14ac:dyDescent="0.25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spans="1:26" x14ac:dyDescent="0.2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spans="1:26" x14ac:dyDescent="0.25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spans="1:26" x14ac:dyDescent="0.25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spans="1:26" x14ac:dyDescent="0.25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spans="1:26" x14ac:dyDescent="0.25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spans="1:26" x14ac:dyDescent="0.25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spans="1:26" x14ac:dyDescent="0.25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spans="1:26" x14ac:dyDescent="0.25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spans="1:26" x14ac:dyDescent="0.25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spans="1:26" x14ac:dyDescent="0.25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spans="1:26" x14ac:dyDescent="0.2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spans="1:26" x14ac:dyDescent="0.25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spans="1:26" x14ac:dyDescent="0.25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spans="1:26" x14ac:dyDescent="0.25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spans="1:26" x14ac:dyDescent="0.25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spans="1:26" x14ac:dyDescent="0.25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spans="1:26" x14ac:dyDescent="0.25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spans="1:26" x14ac:dyDescent="0.25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spans="1:26" x14ac:dyDescent="0.25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spans="1:26" x14ac:dyDescent="0.25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spans="1:26" x14ac:dyDescent="0.2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spans="1:26" x14ac:dyDescent="0.25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spans="1:26" x14ac:dyDescent="0.25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spans="1:26" x14ac:dyDescent="0.25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spans="1:26" x14ac:dyDescent="0.25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spans="1:26" x14ac:dyDescent="0.25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spans="1:26" x14ac:dyDescent="0.25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spans="1:26" x14ac:dyDescent="0.25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spans="1:26" x14ac:dyDescent="0.25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spans="1:26" x14ac:dyDescent="0.25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spans="1:26" x14ac:dyDescent="0.2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spans="1:26" x14ac:dyDescent="0.25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spans="1:26" x14ac:dyDescent="0.25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spans="1:26" x14ac:dyDescent="0.25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spans="1:26" x14ac:dyDescent="0.25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spans="1:26" x14ac:dyDescent="0.25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spans="1:26" x14ac:dyDescent="0.25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spans="1:26" x14ac:dyDescent="0.25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spans="1:26" x14ac:dyDescent="0.25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spans="1:26" x14ac:dyDescent="0.25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spans="1:26" x14ac:dyDescent="0.2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spans="1:26" x14ac:dyDescent="0.25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spans="1:26" x14ac:dyDescent="0.25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spans="1:26" x14ac:dyDescent="0.25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spans="1:26" x14ac:dyDescent="0.25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spans="1:26" x14ac:dyDescent="0.25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spans="1:26" x14ac:dyDescent="0.25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spans="1:26" x14ac:dyDescent="0.25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spans="1:26" x14ac:dyDescent="0.25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spans="1:26" x14ac:dyDescent="0.25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spans="1:26" x14ac:dyDescent="0.2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spans="1:26" x14ac:dyDescent="0.25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spans="1:26" x14ac:dyDescent="0.25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spans="1:26" x14ac:dyDescent="0.25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spans="1:26" x14ac:dyDescent="0.25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spans="1:26" x14ac:dyDescent="0.25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spans="1:26" x14ac:dyDescent="0.25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spans="1:26" x14ac:dyDescent="0.25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spans="1:26" x14ac:dyDescent="0.25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spans="1:26" x14ac:dyDescent="0.25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spans="1:26" x14ac:dyDescent="0.2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spans="1:26" x14ac:dyDescent="0.25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spans="1:26" x14ac:dyDescent="0.25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spans="1:26" x14ac:dyDescent="0.25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spans="1:26" x14ac:dyDescent="0.25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spans="1:26" x14ac:dyDescent="0.25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spans="1:26" x14ac:dyDescent="0.25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spans="1:26" x14ac:dyDescent="0.25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spans="1:26" x14ac:dyDescent="0.25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spans="1:26" x14ac:dyDescent="0.25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spans="1:26" x14ac:dyDescent="0.2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spans="1:26" x14ac:dyDescent="0.25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spans="1:26" x14ac:dyDescent="0.25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spans="1:26" x14ac:dyDescent="0.25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spans="1:26" x14ac:dyDescent="0.25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spans="1:26" x14ac:dyDescent="0.25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spans="1:26" x14ac:dyDescent="0.25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spans="1:26" x14ac:dyDescent="0.25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spans="1:26" x14ac:dyDescent="0.25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spans="1:26" x14ac:dyDescent="0.25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spans="1:26" x14ac:dyDescent="0.2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spans="1:26" x14ac:dyDescent="0.25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spans="1:26" x14ac:dyDescent="0.25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spans="1:26" x14ac:dyDescent="0.25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spans="1:26" x14ac:dyDescent="0.25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spans="1:26" x14ac:dyDescent="0.25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spans="1:26" x14ac:dyDescent="0.25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spans="1:26" x14ac:dyDescent="0.25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spans="1:26" x14ac:dyDescent="0.25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spans="1:26" x14ac:dyDescent="0.25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spans="1:26" x14ac:dyDescent="0.2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spans="1:26" x14ac:dyDescent="0.25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spans="1:26" x14ac:dyDescent="0.25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spans="1:26" x14ac:dyDescent="0.25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spans="1:26" x14ac:dyDescent="0.25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spans="1:26" x14ac:dyDescent="0.25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spans="1:26" x14ac:dyDescent="0.25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spans="1:26" x14ac:dyDescent="0.25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spans="1:26" x14ac:dyDescent="0.25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spans="1:26" x14ac:dyDescent="0.25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spans="1:26" x14ac:dyDescent="0.2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spans="1:26" x14ac:dyDescent="0.25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spans="1:26" x14ac:dyDescent="0.25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spans="1:26" x14ac:dyDescent="0.25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spans="1:26" x14ac:dyDescent="0.25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spans="1:26" x14ac:dyDescent="0.25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spans="1:26" x14ac:dyDescent="0.25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spans="1:26" x14ac:dyDescent="0.25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spans="1:26" x14ac:dyDescent="0.25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spans="1:26" x14ac:dyDescent="0.25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spans="1:26" x14ac:dyDescent="0.2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spans="1:26" x14ac:dyDescent="0.25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spans="1:26" x14ac:dyDescent="0.25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spans="1:26" x14ac:dyDescent="0.25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spans="1:26" x14ac:dyDescent="0.25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spans="1:26" x14ac:dyDescent="0.25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spans="1:26" x14ac:dyDescent="0.25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spans="1:26" x14ac:dyDescent="0.25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spans="1:26" x14ac:dyDescent="0.25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spans="1:26" x14ac:dyDescent="0.25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spans="1:26" x14ac:dyDescent="0.2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spans="1:26" x14ac:dyDescent="0.25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spans="1:26" x14ac:dyDescent="0.25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spans="1:26" x14ac:dyDescent="0.25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spans="1:26" x14ac:dyDescent="0.25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spans="1:26" x14ac:dyDescent="0.25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spans="1:26" x14ac:dyDescent="0.25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spans="1:26" x14ac:dyDescent="0.25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spans="1:26" x14ac:dyDescent="0.25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spans="1:26" x14ac:dyDescent="0.25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spans="1:26" x14ac:dyDescent="0.2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spans="1:26" x14ac:dyDescent="0.25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spans="1:26" x14ac:dyDescent="0.25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spans="1:26" x14ac:dyDescent="0.25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spans="1:26" x14ac:dyDescent="0.25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spans="1:26" x14ac:dyDescent="0.25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spans="1:26" x14ac:dyDescent="0.25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spans="1:26" x14ac:dyDescent="0.25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spans="1:26" x14ac:dyDescent="0.25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spans="1:26" x14ac:dyDescent="0.25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spans="1:26" x14ac:dyDescent="0.2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spans="1:26" x14ac:dyDescent="0.25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spans="1:26" x14ac:dyDescent="0.25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spans="1:26" x14ac:dyDescent="0.25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spans="1:26" x14ac:dyDescent="0.25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spans="1:26" x14ac:dyDescent="0.25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spans="1:26" x14ac:dyDescent="0.25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spans="1:26" x14ac:dyDescent="0.25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spans="1:26" x14ac:dyDescent="0.25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spans="1:26" x14ac:dyDescent="0.25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spans="1:26" x14ac:dyDescent="0.2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spans="1:26" x14ac:dyDescent="0.25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spans="1:26" x14ac:dyDescent="0.25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spans="1:26" x14ac:dyDescent="0.25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spans="1:26" x14ac:dyDescent="0.25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spans="1:26" x14ac:dyDescent="0.25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spans="1:26" x14ac:dyDescent="0.25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spans="1:26" x14ac:dyDescent="0.25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spans="1:26" x14ac:dyDescent="0.25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spans="1:26" x14ac:dyDescent="0.25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spans="1:26" x14ac:dyDescent="0.2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spans="1:26" x14ac:dyDescent="0.25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spans="1:26" x14ac:dyDescent="0.25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spans="1:26" x14ac:dyDescent="0.25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spans="1:26" x14ac:dyDescent="0.25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spans="1:26" x14ac:dyDescent="0.25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spans="1:26" x14ac:dyDescent="0.25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spans="1:26" x14ac:dyDescent="0.25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spans="1:26" x14ac:dyDescent="0.25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spans="1:26" x14ac:dyDescent="0.25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spans="1:26" x14ac:dyDescent="0.2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spans="1:26" x14ac:dyDescent="0.25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spans="1:26" x14ac:dyDescent="0.25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spans="1:26" x14ac:dyDescent="0.25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spans="1:26" x14ac:dyDescent="0.25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spans="1:26" x14ac:dyDescent="0.25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spans="1:26" x14ac:dyDescent="0.25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spans="1:26" x14ac:dyDescent="0.25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spans="1:26" x14ac:dyDescent="0.25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spans="1:26" x14ac:dyDescent="0.25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spans="1:26" x14ac:dyDescent="0.2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spans="1:26" x14ac:dyDescent="0.25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spans="1:26" x14ac:dyDescent="0.25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spans="1:26" x14ac:dyDescent="0.25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spans="1:26" x14ac:dyDescent="0.25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spans="1:26" x14ac:dyDescent="0.25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spans="1:26" x14ac:dyDescent="0.25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spans="1:26" x14ac:dyDescent="0.25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spans="1:26" x14ac:dyDescent="0.25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spans="1:26" x14ac:dyDescent="0.25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spans="1:26" x14ac:dyDescent="0.2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spans="1:26" x14ac:dyDescent="0.25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spans="1:26" x14ac:dyDescent="0.25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spans="1:26" x14ac:dyDescent="0.25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spans="1:26" x14ac:dyDescent="0.25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spans="1:26" x14ac:dyDescent="0.25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spans="1:26" x14ac:dyDescent="0.25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spans="1:26" x14ac:dyDescent="0.25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spans="1:26" x14ac:dyDescent="0.25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spans="1:26" x14ac:dyDescent="0.25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spans="1:26" x14ac:dyDescent="0.2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spans="1:26" x14ac:dyDescent="0.25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spans="1:26" x14ac:dyDescent="0.25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spans="1:26" x14ac:dyDescent="0.25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spans="1:26" x14ac:dyDescent="0.25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spans="1:26" x14ac:dyDescent="0.25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spans="1:26" x14ac:dyDescent="0.25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spans="1:26" x14ac:dyDescent="0.25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spans="1:26" x14ac:dyDescent="0.25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spans="1:26" x14ac:dyDescent="0.25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spans="1:26" x14ac:dyDescent="0.2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spans="1:26" x14ac:dyDescent="0.25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spans="1:26" x14ac:dyDescent="0.25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spans="1:26" x14ac:dyDescent="0.25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spans="1:26" x14ac:dyDescent="0.25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spans="1:26" x14ac:dyDescent="0.25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spans="1:26" x14ac:dyDescent="0.25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spans="1:26" x14ac:dyDescent="0.25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spans="1:26" x14ac:dyDescent="0.25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spans="1:26" x14ac:dyDescent="0.25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spans="1:26" x14ac:dyDescent="0.2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spans="1:26" x14ac:dyDescent="0.25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spans="1:26" x14ac:dyDescent="0.25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spans="1:26" x14ac:dyDescent="0.25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spans="1:26" x14ac:dyDescent="0.25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spans="1:26" x14ac:dyDescent="0.25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spans="1:26" x14ac:dyDescent="0.25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spans="1:26" x14ac:dyDescent="0.25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spans="1:26" x14ac:dyDescent="0.25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spans="1:26" x14ac:dyDescent="0.25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spans="1:26" x14ac:dyDescent="0.2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spans="1:26" x14ac:dyDescent="0.25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spans="1:26" x14ac:dyDescent="0.25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spans="1:26" x14ac:dyDescent="0.25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spans="1:26" x14ac:dyDescent="0.25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spans="1:26" x14ac:dyDescent="0.25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spans="1:26" x14ac:dyDescent="0.25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spans="1:26" x14ac:dyDescent="0.25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spans="1:26" x14ac:dyDescent="0.25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spans="1:26" x14ac:dyDescent="0.25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spans="1:26" x14ac:dyDescent="0.2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spans="1:26" x14ac:dyDescent="0.25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spans="1:26" x14ac:dyDescent="0.25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spans="1:26" x14ac:dyDescent="0.25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spans="1:26" x14ac:dyDescent="0.25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spans="1:26" x14ac:dyDescent="0.25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spans="1:26" x14ac:dyDescent="0.25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spans="1:26" x14ac:dyDescent="0.25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spans="1:26" x14ac:dyDescent="0.25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spans="1:26" x14ac:dyDescent="0.25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spans="1:26" x14ac:dyDescent="0.2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spans="1:26" x14ac:dyDescent="0.25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spans="1:26" x14ac:dyDescent="0.25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spans="1:26" x14ac:dyDescent="0.25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spans="1:26" x14ac:dyDescent="0.25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spans="1:26" x14ac:dyDescent="0.25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spans="1:26" x14ac:dyDescent="0.25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spans="1:26" x14ac:dyDescent="0.25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spans="1:26" x14ac:dyDescent="0.25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spans="1:26" x14ac:dyDescent="0.25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spans="1:26" x14ac:dyDescent="0.2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spans="1:26" x14ac:dyDescent="0.25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spans="1:26" x14ac:dyDescent="0.25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spans="1:26" x14ac:dyDescent="0.25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spans="1:26" x14ac:dyDescent="0.25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spans="1:26" x14ac:dyDescent="0.25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spans="1:26" x14ac:dyDescent="0.25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spans="1:26" x14ac:dyDescent="0.25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spans="1:26" x14ac:dyDescent="0.25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spans="1:26" x14ac:dyDescent="0.25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spans="1:26" x14ac:dyDescent="0.2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spans="1:26" x14ac:dyDescent="0.25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spans="1:26" x14ac:dyDescent="0.25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spans="1:26" x14ac:dyDescent="0.25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spans="1:26" x14ac:dyDescent="0.25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spans="1:26" x14ac:dyDescent="0.25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spans="1:26" x14ac:dyDescent="0.25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spans="1:26" x14ac:dyDescent="0.25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spans="1:26" x14ac:dyDescent="0.25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spans="1:26" x14ac:dyDescent="0.25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spans="1:26" x14ac:dyDescent="0.2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spans="1:26" x14ac:dyDescent="0.25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spans="1:26" x14ac:dyDescent="0.25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spans="1:26" x14ac:dyDescent="0.25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spans="1:26" x14ac:dyDescent="0.25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spans="1:26" x14ac:dyDescent="0.25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spans="1:26" x14ac:dyDescent="0.25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spans="1:26" x14ac:dyDescent="0.25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spans="1:26" x14ac:dyDescent="0.25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spans="1:26" x14ac:dyDescent="0.25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spans="1:26" x14ac:dyDescent="0.2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spans="1:26" x14ac:dyDescent="0.25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spans="1:26" x14ac:dyDescent="0.25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spans="1:26" x14ac:dyDescent="0.25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spans="1:26" x14ac:dyDescent="0.25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spans="1:26" x14ac:dyDescent="0.25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spans="1:26" x14ac:dyDescent="0.25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spans="1:26" x14ac:dyDescent="0.25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spans="1:26" x14ac:dyDescent="0.25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spans="1:26" x14ac:dyDescent="0.25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spans="1:26" x14ac:dyDescent="0.2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spans="1:26" x14ac:dyDescent="0.25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spans="1:26" x14ac:dyDescent="0.25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spans="1:26" x14ac:dyDescent="0.25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spans="1:26" x14ac:dyDescent="0.25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spans="1:26" x14ac:dyDescent="0.25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spans="1:26" x14ac:dyDescent="0.25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spans="1:26" x14ac:dyDescent="0.25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spans="1:26" x14ac:dyDescent="0.25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spans="1:26" x14ac:dyDescent="0.25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spans="1:26" x14ac:dyDescent="0.2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spans="1:26" x14ac:dyDescent="0.25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spans="1:26" x14ac:dyDescent="0.25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spans="1:26" x14ac:dyDescent="0.25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spans="1:26" x14ac:dyDescent="0.25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spans="1:26" x14ac:dyDescent="0.25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spans="1:26" x14ac:dyDescent="0.25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spans="1:26" x14ac:dyDescent="0.25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spans="1:26" x14ac:dyDescent="0.25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spans="1:26" x14ac:dyDescent="0.25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spans="1:26" x14ac:dyDescent="0.2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spans="1:26" x14ac:dyDescent="0.25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spans="1:26" x14ac:dyDescent="0.25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spans="1:26" x14ac:dyDescent="0.25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spans="1:26" x14ac:dyDescent="0.25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spans="1:26" x14ac:dyDescent="0.25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spans="1:26" x14ac:dyDescent="0.25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spans="1:26" x14ac:dyDescent="0.25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spans="1:26" x14ac:dyDescent="0.25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spans="1:26" x14ac:dyDescent="0.25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spans="1:26" x14ac:dyDescent="0.2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spans="1:26" x14ac:dyDescent="0.25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spans="1:26" x14ac:dyDescent="0.25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spans="1:26" x14ac:dyDescent="0.25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spans="1:26" x14ac:dyDescent="0.25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spans="1:26" x14ac:dyDescent="0.25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spans="1:26" x14ac:dyDescent="0.25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spans="1:26" x14ac:dyDescent="0.25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spans="1:26" x14ac:dyDescent="0.25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spans="1:26" x14ac:dyDescent="0.25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spans="1:26" x14ac:dyDescent="0.2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spans="1:26" x14ac:dyDescent="0.25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spans="1:26" x14ac:dyDescent="0.25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spans="1:26" x14ac:dyDescent="0.25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spans="1:26" x14ac:dyDescent="0.25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spans="1:26" x14ac:dyDescent="0.25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spans="1:26" x14ac:dyDescent="0.25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spans="1:26" x14ac:dyDescent="0.25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spans="1:26" x14ac:dyDescent="0.25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spans="1:26" x14ac:dyDescent="0.25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spans="1:26" x14ac:dyDescent="0.2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spans="1:26" x14ac:dyDescent="0.25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spans="1:26" x14ac:dyDescent="0.25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spans="1:26" x14ac:dyDescent="0.25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spans="1:26" x14ac:dyDescent="0.25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spans="1:26" x14ac:dyDescent="0.25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spans="1:26" x14ac:dyDescent="0.25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spans="1:26" x14ac:dyDescent="0.25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spans="1:26" x14ac:dyDescent="0.25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spans="1:26" x14ac:dyDescent="0.25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spans="1:26" x14ac:dyDescent="0.2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spans="1:26" x14ac:dyDescent="0.25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spans="1:26" x14ac:dyDescent="0.25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spans="1:26" x14ac:dyDescent="0.25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spans="1:26" x14ac:dyDescent="0.25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spans="1:26" x14ac:dyDescent="0.25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spans="1:26" x14ac:dyDescent="0.25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spans="1:26" x14ac:dyDescent="0.25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spans="1:26" x14ac:dyDescent="0.25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spans="1:26" x14ac:dyDescent="0.25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spans="1:26" x14ac:dyDescent="0.2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spans="1:26" x14ac:dyDescent="0.25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spans="1:26" x14ac:dyDescent="0.25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spans="1:26" x14ac:dyDescent="0.25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spans="1:26" x14ac:dyDescent="0.25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spans="1:26" x14ac:dyDescent="0.25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spans="1:26" x14ac:dyDescent="0.25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spans="1:26" x14ac:dyDescent="0.25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spans="1:26" x14ac:dyDescent="0.25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spans="1:26" x14ac:dyDescent="0.25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spans="1:26" x14ac:dyDescent="0.25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spans="1:26" x14ac:dyDescent="0.25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spans="1:26" x14ac:dyDescent="0.25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spans="1:26" x14ac:dyDescent="0.25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spans="1:26" x14ac:dyDescent="0.25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spans="1:26" x14ac:dyDescent="0.25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spans="1:26" x14ac:dyDescent="0.25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spans="1:26" x14ac:dyDescent="0.25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spans="1:26" x14ac:dyDescent="0.25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spans="1:26" x14ac:dyDescent="0.25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spans="1:26" x14ac:dyDescent="0.25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spans="1:26" x14ac:dyDescent="0.25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spans="1:26" x14ac:dyDescent="0.25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spans="1:26" x14ac:dyDescent="0.25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spans="1:26" x14ac:dyDescent="0.25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spans="1:26" x14ac:dyDescent="0.25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spans="1:26" x14ac:dyDescent="0.25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spans="1:26" x14ac:dyDescent="0.25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spans="1:26" x14ac:dyDescent="0.25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spans="1:26" x14ac:dyDescent="0.25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spans="1:26" x14ac:dyDescent="0.25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spans="1:26" x14ac:dyDescent="0.25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spans="1:26" x14ac:dyDescent="0.25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spans="1:26" x14ac:dyDescent="0.25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spans="1:26" x14ac:dyDescent="0.25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spans="1:26" x14ac:dyDescent="0.25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spans="1:26" x14ac:dyDescent="0.25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spans="1:26" x14ac:dyDescent="0.25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spans="1:26" x14ac:dyDescent="0.25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spans="1:26" x14ac:dyDescent="0.25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spans="1:26" x14ac:dyDescent="0.25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spans="1:26" x14ac:dyDescent="0.25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spans="1:26" x14ac:dyDescent="0.25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spans="1:26" x14ac:dyDescent="0.25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spans="1:26" x14ac:dyDescent="0.25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spans="1:26" x14ac:dyDescent="0.25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spans="1:26" x14ac:dyDescent="0.25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spans="1:26" x14ac:dyDescent="0.25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spans="1:26" x14ac:dyDescent="0.25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spans="1:26" x14ac:dyDescent="0.25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spans="1:26" x14ac:dyDescent="0.25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spans="1:26" x14ac:dyDescent="0.25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spans="1:26" x14ac:dyDescent="0.25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spans="1:26" x14ac:dyDescent="0.25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spans="1:26" x14ac:dyDescent="0.25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 spans="1:26" x14ac:dyDescent="0.25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 spans="1:26" x14ac:dyDescent="0.25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 spans="1:26" x14ac:dyDescent="0.25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 spans="1:26" x14ac:dyDescent="0.25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 spans="1:26" x14ac:dyDescent="0.25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 spans="1:26" x14ac:dyDescent="0.25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 spans="1:26" x14ac:dyDescent="0.25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 spans="1:26" x14ac:dyDescent="0.25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 spans="1:26" x14ac:dyDescent="0.25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 spans="1:26" x14ac:dyDescent="0.25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 spans="1:26" x14ac:dyDescent="0.25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 spans="1:26" x14ac:dyDescent="0.25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 spans="1:26" x14ac:dyDescent="0.25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 spans="1:26" x14ac:dyDescent="0.25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 spans="1:26" x14ac:dyDescent="0.25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 spans="1:26" x14ac:dyDescent="0.25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 spans="1:26" x14ac:dyDescent="0.25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 spans="1:26" x14ac:dyDescent="0.25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 spans="1:26" x14ac:dyDescent="0.25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 spans="1:26" x14ac:dyDescent="0.25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 spans="1:26" x14ac:dyDescent="0.25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 spans="1:26" x14ac:dyDescent="0.25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 spans="1:26" x14ac:dyDescent="0.25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 spans="1:26" x14ac:dyDescent="0.25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 spans="1:26" x14ac:dyDescent="0.25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 spans="1:26" x14ac:dyDescent="0.25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 spans="1:26" x14ac:dyDescent="0.25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 spans="1:26" x14ac:dyDescent="0.25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 spans="1:26" x14ac:dyDescent="0.25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 spans="1:26" x14ac:dyDescent="0.25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 spans="1:26" x14ac:dyDescent="0.25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 spans="1:26" x14ac:dyDescent="0.25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 spans="1:26" x14ac:dyDescent="0.25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 spans="1:26" x14ac:dyDescent="0.25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 spans="1:26" x14ac:dyDescent="0.25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 spans="1:26" x14ac:dyDescent="0.25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 spans="1:26" x14ac:dyDescent="0.25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 spans="1:26" x14ac:dyDescent="0.25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 spans="1:26" x14ac:dyDescent="0.25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 spans="1:26" x14ac:dyDescent="0.25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 spans="1:26" x14ac:dyDescent="0.25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  <row r="1001" spans="1:26" x14ac:dyDescent="0.25">
      <c r="A1001" s="47"/>
      <c r="B1001" s="47"/>
      <c r="C1001" s="47"/>
      <c r="D1001" s="47"/>
      <c r="E1001" s="47"/>
      <c r="F1001" s="47"/>
      <c r="G1001" s="47"/>
      <c r="H1001" s="47"/>
      <c r="I1001" s="47"/>
      <c r="J1001" s="47"/>
      <c r="K1001" s="47"/>
      <c r="L1001" s="47"/>
      <c r="M1001" s="47"/>
      <c r="N1001" s="47"/>
      <c r="O1001" s="47"/>
      <c r="P1001" s="47"/>
      <c r="Q1001" s="47"/>
      <c r="R1001" s="47"/>
      <c r="S1001" s="47"/>
      <c r="T1001" s="47"/>
      <c r="U1001" s="47"/>
      <c r="V1001" s="47"/>
      <c r="W1001" s="47"/>
      <c r="X1001" s="47"/>
      <c r="Y1001" s="47"/>
      <c r="Z1001" s="47"/>
    </row>
    <row r="1002" spans="1:26" x14ac:dyDescent="0.25">
      <c r="A1002" s="47"/>
      <c r="B1002" s="47"/>
      <c r="C1002" s="47"/>
      <c r="D1002" s="47"/>
      <c r="E1002" s="47"/>
      <c r="F1002" s="47"/>
      <c r="G1002" s="47"/>
      <c r="H1002" s="47"/>
      <c r="I1002" s="47"/>
      <c r="J1002" s="47"/>
      <c r="K1002" s="47"/>
      <c r="L1002" s="47"/>
      <c r="M1002" s="47"/>
      <c r="N1002" s="47"/>
      <c r="O1002" s="47"/>
      <c r="P1002" s="47"/>
      <c r="Q1002" s="47"/>
      <c r="R1002" s="47"/>
      <c r="S1002" s="47"/>
      <c r="T1002" s="47"/>
      <c r="U1002" s="47"/>
      <c r="V1002" s="47"/>
      <c r="W1002" s="47"/>
      <c r="X1002" s="47"/>
      <c r="Y1002" s="47"/>
      <c r="Z1002" s="47"/>
    </row>
    <row r="1003" spans="1:26" x14ac:dyDescent="0.25">
      <c r="A1003" s="47"/>
      <c r="B1003" s="47"/>
      <c r="C1003" s="47"/>
      <c r="D1003" s="47"/>
      <c r="E1003" s="47"/>
      <c r="F1003" s="47"/>
      <c r="G1003" s="47"/>
      <c r="H1003" s="47"/>
      <c r="I1003" s="47"/>
      <c r="J1003" s="47"/>
      <c r="K1003" s="47"/>
      <c r="L1003" s="47"/>
      <c r="M1003" s="47"/>
      <c r="N1003" s="47"/>
      <c r="O1003" s="47"/>
      <c r="P1003" s="47"/>
      <c r="Q1003" s="47"/>
      <c r="R1003" s="47"/>
      <c r="S1003" s="47"/>
      <c r="T1003" s="47"/>
      <c r="U1003" s="47"/>
      <c r="V1003" s="47"/>
      <c r="W1003" s="47"/>
      <c r="X1003" s="47"/>
      <c r="Y1003" s="47"/>
      <c r="Z1003" s="47"/>
    </row>
  </sheetData>
  <mergeCells count="27">
    <mergeCell ref="G62:G63"/>
    <mergeCell ref="H62:H63"/>
    <mergeCell ref="E62:F62"/>
    <mergeCell ref="B67:H67"/>
    <mergeCell ref="B61:I61"/>
    <mergeCell ref="B62:B63"/>
    <mergeCell ref="C62:C63"/>
    <mergeCell ref="D62:D63"/>
    <mergeCell ref="I62:I63"/>
    <mergeCell ref="B58:H58"/>
    <mergeCell ref="B20:I20"/>
    <mergeCell ref="B21:B22"/>
    <mergeCell ref="C21:C22"/>
    <mergeCell ref="D21:D22"/>
    <mergeCell ref="E21:F21"/>
    <mergeCell ref="G21:G22"/>
    <mergeCell ref="I21:I22"/>
    <mergeCell ref="B48:B49"/>
    <mergeCell ref="C48:C49"/>
    <mergeCell ref="H48:H49"/>
    <mergeCell ref="I48:I49"/>
    <mergeCell ref="B45:H45"/>
    <mergeCell ref="B47:I47"/>
    <mergeCell ref="H21:H22"/>
    <mergeCell ref="G48:G49"/>
    <mergeCell ref="D48:D49"/>
    <mergeCell ref="E48:F4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/>
  </sheetViews>
  <sheetFormatPr defaultColWidth="12.6640625" defaultRowHeight="15.75" customHeight="1" x14ac:dyDescent="0.25"/>
  <cols>
    <col min="6" max="6" width="18.109375" customWidth="1"/>
    <col min="7" max="7" width="14.109375" customWidth="1"/>
    <col min="8" max="8" width="15" customWidth="1"/>
    <col min="9" max="9" width="13.77734375" customWidth="1"/>
    <col min="11" max="11" width="17.1093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23" t="s">
        <v>151</v>
      </c>
      <c r="C5" s="24" t="s">
        <v>152</v>
      </c>
      <c r="D5" s="24" t="s">
        <v>6</v>
      </c>
      <c r="E5" s="1"/>
      <c r="F5" s="75" t="s">
        <v>153</v>
      </c>
      <c r="G5" s="66"/>
      <c r="H5" s="1"/>
      <c r="I5" s="76" t="s">
        <v>154</v>
      </c>
      <c r="J5" s="66"/>
      <c r="K5" s="1"/>
      <c r="L5" s="75" t="s">
        <v>155</v>
      </c>
      <c r="M5" s="66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"/>
      <c r="B6" s="5" t="s">
        <v>156</v>
      </c>
      <c r="C6" s="25">
        <v>1</v>
      </c>
      <c r="D6" s="25" t="s">
        <v>157</v>
      </c>
      <c r="E6" s="1"/>
      <c r="F6" s="26" t="s">
        <v>109</v>
      </c>
      <c r="G6" s="26" t="s">
        <v>124</v>
      </c>
      <c r="H6" s="1"/>
      <c r="I6" s="27" t="s">
        <v>109</v>
      </c>
      <c r="J6" s="27" t="s">
        <v>124</v>
      </c>
      <c r="K6" s="1"/>
      <c r="L6" s="26" t="s">
        <v>158</v>
      </c>
      <c r="M6" s="26" t="s">
        <v>124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/>
      <c r="B7" s="5" t="s">
        <v>159</v>
      </c>
      <c r="C7" s="25">
        <v>1</v>
      </c>
      <c r="D7" s="25" t="s">
        <v>160</v>
      </c>
      <c r="E7" s="1"/>
      <c r="F7" s="4" t="s">
        <v>111</v>
      </c>
      <c r="G7" s="28">
        <f>'TOOLS AC Kaset'!C9</f>
        <v>1037440.3333333334</v>
      </c>
      <c r="H7" s="1"/>
      <c r="I7" s="4" t="s">
        <v>112</v>
      </c>
      <c r="J7" s="28">
        <f>'TOOLS AC Kaset'!C10</f>
        <v>521090</v>
      </c>
      <c r="K7" s="1"/>
      <c r="L7" s="4" t="s">
        <v>161</v>
      </c>
      <c r="M7" s="28">
        <v>80000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"/>
      <c r="B8" s="5" t="s">
        <v>125</v>
      </c>
      <c r="C8" s="25">
        <v>1</v>
      </c>
      <c r="D8" s="25" t="s">
        <v>162</v>
      </c>
      <c r="E8" s="1"/>
      <c r="F8" s="4" t="s">
        <v>163</v>
      </c>
      <c r="G8" s="28">
        <f>'TOOLS AC Kaset'!C11</f>
        <v>153070.29166666666</v>
      </c>
      <c r="H8" s="1"/>
      <c r="I8" s="29" t="s">
        <v>110</v>
      </c>
      <c r="J8" s="30">
        <f>J7</f>
        <v>521090</v>
      </c>
      <c r="K8" s="1"/>
      <c r="L8" s="4" t="s">
        <v>164</v>
      </c>
      <c r="M8" s="28">
        <v>50000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"/>
      <c r="B9" s="5" t="s">
        <v>165</v>
      </c>
      <c r="C9" s="25">
        <v>200</v>
      </c>
      <c r="D9" s="25" t="s">
        <v>166</v>
      </c>
      <c r="E9" s="1"/>
      <c r="F9" s="29" t="s">
        <v>110</v>
      </c>
      <c r="G9" s="30">
        <f>SUM(G7:G8)</f>
        <v>1190510.625</v>
      </c>
      <c r="H9" s="1"/>
      <c r="I9" s="1"/>
      <c r="J9" s="1"/>
      <c r="K9" s="1"/>
      <c r="L9" s="29" t="s">
        <v>110</v>
      </c>
      <c r="M9" s="30">
        <f>SUM(M7:M8)</f>
        <v>130000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"/>
      <c r="B10" s="5" t="s">
        <v>167</v>
      </c>
      <c r="C10" s="31">
        <v>80000</v>
      </c>
      <c r="D10" s="4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"/>
      <c r="B11" s="5" t="s">
        <v>168</v>
      </c>
      <c r="C11" s="31">
        <v>50000</v>
      </c>
      <c r="D11" s="25" t="s">
        <v>169</v>
      </c>
      <c r="E11" s="1"/>
      <c r="F11" s="75" t="s">
        <v>170</v>
      </c>
      <c r="G11" s="66"/>
      <c r="L11" s="32"/>
      <c r="M11" s="32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5" t="s">
        <v>171</v>
      </c>
      <c r="C12" s="33">
        <v>0.3</v>
      </c>
      <c r="D12" s="4"/>
      <c r="E12" s="1"/>
      <c r="F12" s="34" t="s">
        <v>158</v>
      </c>
      <c r="G12" s="34" t="s">
        <v>124</v>
      </c>
      <c r="L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5" t="s">
        <v>172</v>
      </c>
      <c r="C13" s="25">
        <v>20</v>
      </c>
      <c r="D13" s="4"/>
      <c r="E13" s="1"/>
      <c r="F13" s="4" t="s">
        <v>173</v>
      </c>
      <c r="G13" s="35">
        <f>G9</f>
        <v>1190510.625</v>
      </c>
      <c r="L13" s="1"/>
      <c r="M13" s="3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/>
      <c r="B14" s="77"/>
      <c r="C14" s="65"/>
      <c r="D14" s="66"/>
      <c r="E14" s="1"/>
      <c r="F14" s="4" t="s">
        <v>112</v>
      </c>
      <c r="G14" s="35">
        <f>J8</f>
        <v>521090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37" t="s">
        <v>174</v>
      </c>
      <c r="C15" s="78" t="s">
        <v>124</v>
      </c>
      <c r="D15" s="66"/>
      <c r="E15" s="1"/>
      <c r="F15" s="4" t="s">
        <v>175</v>
      </c>
      <c r="G15" s="35">
        <f>M9</f>
        <v>130000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5" t="s">
        <v>176</v>
      </c>
      <c r="C16" s="79">
        <f>G16</f>
        <v>1841600.625</v>
      </c>
      <c r="D16" s="66"/>
      <c r="E16" s="1"/>
      <c r="F16" s="29" t="s">
        <v>177</v>
      </c>
      <c r="G16" s="38">
        <f>SUM(G13:G15)</f>
        <v>1841600.625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5" t="s">
        <v>178</v>
      </c>
      <c r="C17" s="79">
        <f>K19-H19</f>
        <v>552480.1875</v>
      </c>
      <c r="D17" s="66"/>
      <c r="E17" s="1"/>
      <c r="H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39"/>
      <c r="C18" s="80"/>
      <c r="D18" s="81"/>
      <c r="E18" s="1"/>
      <c r="F18" s="40" t="s">
        <v>179</v>
      </c>
      <c r="G18" s="40" t="s">
        <v>126</v>
      </c>
      <c r="H18" s="40" t="s">
        <v>124</v>
      </c>
      <c r="I18" s="40" t="s">
        <v>180</v>
      </c>
      <c r="J18" s="40" t="s">
        <v>181</v>
      </c>
      <c r="K18" s="40" t="s">
        <v>182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39"/>
      <c r="C19" s="80"/>
      <c r="D19" s="81"/>
      <c r="E19" s="1"/>
      <c r="F19" s="3">
        <v>1</v>
      </c>
      <c r="G19" s="41" t="s">
        <v>157</v>
      </c>
      <c r="H19" s="42">
        <f>G16</f>
        <v>1841600.625</v>
      </c>
      <c r="I19" s="4">
        <v>0.3</v>
      </c>
      <c r="J19" s="43">
        <v>1</v>
      </c>
      <c r="K19" s="42">
        <f t="shared" ref="K19:K21" si="0">H19*(J19+I19)</f>
        <v>2394080.8125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/>
      <c r="B20" s="39"/>
      <c r="C20" s="82"/>
      <c r="D20" s="81"/>
      <c r="E20" s="1"/>
      <c r="F20" s="3">
        <v>5</v>
      </c>
      <c r="G20" s="41" t="s">
        <v>157</v>
      </c>
      <c r="H20" s="42">
        <f>G16/F20</f>
        <v>368320.125</v>
      </c>
      <c r="I20" s="4">
        <v>0.3</v>
      </c>
      <c r="J20" s="43">
        <v>1</v>
      </c>
      <c r="K20" s="42">
        <f t="shared" si="0"/>
        <v>478816.16250000003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"/>
      <c r="B21" s="1"/>
      <c r="C21" s="1"/>
      <c r="D21" s="1"/>
      <c r="E21" s="1"/>
      <c r="F21" s="3">
        <v>10</v>
      </c>
      <c r="G21" s="3" t="s">
        <v>157</v>
      </c>
      <c r="H21" s="42">
        <f>G16/F21</f>
        <v>184160.0625</v>
      </c>
      <c r="I21" s="4">
        <v>0.3</v>
      </c>
      <c r="J21" s="44">
        <v>1</v>
      </c>
      <c r="K21" s="42">
        <f t="shared" si="0"/>
        <v>239408.08125000002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"/>
      <c r="B22" s="83" t="s">
        <v>183</v>
      </c>
      <c r="C22" s="81"/>
      <c r="D22" s="81"/>
      <c r="E22" s="1"/>
      <c r="H22" s="1"/>
      <c r="I22" s="1"/>
      <c r="J22" s="45" t="s">
        <v>184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"/>
      <c r="B23" s="1"/>
      <c r="C23" s="1"/>
      <c r="D23" s="1"/>
      <c r="E23" s="1"/>
      <c r="F23" s="1"/>
      <c r="G23" s="46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"/>
      <c r="B24" s="1"/>
      <c r="C24" s="1"/>
      <c r="D24" s="1"/>
      <c r="E24" s="1"/>
      <c r="F24" s="75" t="s">
        <v>185</v>
      </c>
      <c r="G24" s="6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"/>
      <c r="B25" s="1"/>
      <c r="C25" s="1"/>
      <c r="D25" s="1"/>
      <c r="E25" s="1"/>
      <c r="F25" s="4" t="s">
        <v>177</v>
      </c>
      <c r="G25" s="35">
        <f>G16</f>
        <v>1841600.625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"/>
      <c r="B26" s="1"/>
      <c r="C26" s="1"/>
      <c r="D26" s="1"/>
      <c r="E26" s="1"/>
      <c r="F26" s="4" t="s">
        <v>181</v>
      </c>
      <c r="G26" s="43">
        <v>1.3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"/>
      <c r="B27" s="1"/>
      <c r="C27" s="1"/>
      <c r="D27" s="1"/>
      <c r="E27" s="1"/>
      <c r="F27" s="29" t="s">
        <v>186</v>
      </c>
      <c r="G27" s="38">
        <f>G25*G26</f>
        <v>2394080.8125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C17:D17"/>
    <mergeCell ref="F5:G5"/>
    <mergeCell ref="I5:J5"/>
    <mergeCell ref="L5:M5"/>
    <mergeCell ref="B14:D14"/>
    <mergeCell ref="C15:D15"/>
    <mergeCell ref="F11:G11"/>
    <mergeCell ref="C16:D16"/>
    <mergeCell ref="C18:D18"/>
    <mergeCell ref="C19:D19"/>
    <mergeCell ref="C20:D20"/>
    <mergeCell ref="B22:D22"/>
    <mergeCell ref="F24:G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5</vt:i4>
      </vt:variant>
    </vt:vector>
  </HeadingPairs>
  <TitlesOfParts>
    <vt:vector size="5" baseType="lpstr">
      <vt:lpstr>Tools Kit</vt:lpstr>
      <vt:lpstr>TOOLS AC Split</vt:lpstr>
      <vt:lpstr>Pricelist Split</vt:lpstr>
      <vt:lpstr>TOOLS AC Kaset</vt:lpstr>
      <vt:lpstr>Pricelist Kaset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Muhandis Lawdza'i Putra Sanjaya</cp:lastModifiedBy>
  <dcterms:modified xsi:type="dcterms:W3CDTF">2025-11-10T03:31:10Z</dcterms:modified>
</cp:coreProperties>
</file>